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J:\Jeremy\"/>
    </mc:Choice>
  </mc:AlternateContent>
  <bookViews>
    <workbookView xWindow="0" yWindow="0" windowWidth="13935" windowHeight="10725"/>
  </bookViews>
  <sheets>
    <sheet name="Instructions" sheetId="3" r:id="rId1"/>
    <sheet name="master_list" sheetId="2" r:id="rId2"/>
    <sheet name="receiving" sheetId="4" r:id="rId3"/>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2" l="1"/>
  <c r="N4" i="2"/>
  <c r="N5" i="2"/>
  <c r="N6" i="2"/>
  <c r="N7" i="2"/>
  <c r="N8" i="2"/>
  <c r="N9" i="2"/>
  <c r="N10" i="2"/>
  <c r="N11" i="2"/>
  <c r="N12" i="2"/>
  <c r="N13" i="2"/>
  <c r="N14" i="2"/>
  <c r="N16" i="2"/>
  <c r="N17" i="2"/>
  <c r="N18" i="2"/>
  <c r="N19" i="2"/>
  <c r="N20" i="2"/>
  <c r="N21" i="2"/>
  <c r="N22" i="2"/>
  <c r="N23" i="2"/>
  <c r="N24" i="2"/>
  <c r="N25" i="2"/>
  <c r="N26" i="2"/>
  <c r="N27" i="2"/>
  <c r="N28" i="2"/>
  <c r="N29" i="2"/>
  <c r="N30" i="2"/>
  <c r="N31" i="2"/>
  <c r="N32" i="2"/>
  <c r="N33" i="2"/>
  <c r="N34" i="2"/>
  <c r="N35" i="2"/>
  <c r="N36" i="2"/>
  <c r="N2" i="2"/>
  <c r="M3" i="2"/>
  <c r="M4" i="2"/>
  <c r="M5" i="2"/>
  <c r="M6" i="2"/>
  <c r="M7" i="2"/>
  <c r="M8" i="2"/>
  <c r="M9" i="2"/>
  <c r="M10" i="2"/>
  <c r="M11" i="2"/>
  <c r="M12" i="2"/>
  <c r="M13" i="2"/>
  <c r="M14" i="2"/>
  <c r="M16" i="2"/>
  <c r="M17" i="2"/>
  <c r="M18" i="2"/>
  <c r="M19" i="2"/>
  <c r="M20" i="2"/>
  <c r="M21" i="2"/>
  <c r="M22" i="2"/>
  <c r="M23" i="2"/>
  <c r="M24" i="2"/>
  <c r="M25" i="2"/>
  <c r="M26" i="2"/>
  <c r="M27" i="2"/>
  <c r="M28" i="2"/>
  <c r="M29" i="2"/>
  <c r="M30" i="2"/>
  <c r="M31" i="2"/>
  <c r="M32" i="2"/>
  <c r="M33" i="2"/>
  <c r="M34" i="2"/>
  <c r="M35" i="2"/>
  <c r="M36" i="2"/>
  <c r="M2" i="2"/>
  <c r="R1" i="2"/>
  <c r="O7" i="2" s="1"/>
  <c r="O30" i="2" l="1"/>
  <c r="O6" i="2"/>
  <c r="O4" i="2"/>
  <c r="O29" i="2"/>
  <c r="O28" i="2"/>
  <c r="O27" i="2"/>
  <c r="O26" i="2"/>
  <c r="O18" i="2"/>
  <c r="O17" i="2"/>
  <c r="O16" i="2"/>
  <c r="O14" i="2"/>
  <c r="O3" i="2"/>
  <c r="O5" i="2"/>
  <c r="O25" i="2"/>
  <c r="O13" i="2"/>
  <c r="O36" i="2"/>
  <c r="O24" i="2"/>
  <c r="O12" i="2"/>
  <c r="O35" i="2"/>
  <c r="O23" i="2"/>
  <c r="O11" i="2"/>
  <c r="O34" i="2"/>
  <c r="O22" i="2"/>
  <c r="O10" i="2"/>
  <c r="O33" i="2"/>
  <c r="O21" i="2"/>
  <c r="O9" i="2"/>
  <c r="O32" i="2"/>
  <c r="O20" i="2"/>
  <c r="O8" i="2"/>
  <c r="O31" i="2"/>
  <c r="O19" i="2"/>
  <c r="O2" i="2"/>
  <c r="F2" i="2"/>
  <c r="F3" i="2"/>
  <c r="F4" i="2"/>
  <c r="F5" i="2"/>
  <c r="F6" i="2"/>
  <c r="F7" i="2"/>
  <c r="F8" i="2"/>
  <c r="F9" i="2"/>
  <c r="F10" i="2"/>
  <c r="F11" i="2"/>
  <c r="F12" i="2"/>
  <c r="F13" i="2"/>
  <c r="F14" i="2"/>
  <c r="F21" i="2" l="1"/>
  <c r="F23" i="2"/>
  <c r="F24" i="2"/>
  <c r="F25" i="2"/>
  <c r="F26" i="2"/>
  <c r="F27" i="2"/>
  <c r="F28" i="2"/>
  <c r="F30" i="2"/>
  <c r="F31" i="2"/>
  <c r="F32" i="2"/>
  <c r="F33" i="2"/>
  <c r="F34" i="2"/>
  <c r="F35" i="2"/>
  <c r="F36" i="2"/>
  <c r="F16" i="2"/>
</calcChain>
</file>

<file path=xl/sharedStrings.xml><?xml version="1.0" encoding="utf-8"?>
<sst xmlns="http://schemas.openxmlformats.org/spreadsheetml/2006/main" count="219" uniqueCount="130">
  <si>
    <t>Received</t>
  </si>
  <si>
    <t>Used</t>
  </si>
  <si>
    <t>Brilliant Green Sulpha Agar + Novobiocin</t>
  </si>
  <si>
    <t>Campylobacter Agar</t>
  </si>
  <si>
    <t>CIN (Yersinia) Agar</t>
  </si>
  <si>
    <t>Columbia Agar with 0.1% Starch</t>
  </si>
  <si>
    <t>DNAse Agar</t>
  </si>
  <si>
    <t>Skim Milk Agar (1%)</t>
  </si>
  <si>
    <t>TSA Agar</t>
  </si>
  <si>
    <t>Rappaport Vassiliadis (RV) Broth</t>
  </si>
  <si>
    <t>Tetrathionate Broth</t>
  </si>
  <si>
    <t>Thioglycollate Broth (w/o Indicator)</t>
  </si>
  <si>
    <t>Chocolate XV Agar</t>
  </si>
  <si>
    <t>Esculin Broth</t>
  </si>
  <si>
    <t>Lysine Decarboxylase Broth</t>
  </si>
  <si>
    <t>Malonate Broth</t>
  </si>
  <si>
    <t>MRVP Broth</t>
  </si>
  <si>
    <t>Nitrate Broth with Durham Tube</t>
  </si>
  <si>
    <t>O-F Dextrose</t>
  </si>
  <si>
    <t>O-F Maltose</t>
  </si>
  <si>
    <t>Brucella Agar</t>
  </si>
  <si>
    <t>Chocolate Enriched Agar</t>
  </si>
  <si>
    <t>Hektoen Enteric Agar</t>
  </si>
  <si>
    <t>Sabouraud Dextrose Agar</t>
  </si>
  <si>
    <t>XLT-4 Agar</t>
  </si>
  <si>
    <t>Columbia Agar with 5% Sheep Blood</t>
  </si>
  <si>
    <t>MacConkey Agar #3 + Crystal Violet</t>
  </si>
  <si>
    <t>Symbol</t>
  </si>
  <si>
    <t>Current Lot #</t>
  </si>
  <si>
    <t>Expiry Date</t>
  </si>
  <si>
    <t>ba</t>
  </si>
  <si>
    <t>mac</t>
  </si>
  <si>
    <t>pea</t>
  </si>
  <si>
    <t>bgs</t>
  </si>
  <si>
    <t>bmh</t>
  </si>
  <si>
    <t>pmh</t>
  </si>
  <si>
    <t>xlt</t>
  </si>
  <si>
    <t>ss</t>
  </si>
  <si>
    <t>sab</t>
  </si>
  <si>
    <t>hek</t>
  </si>
  <si>
    <t>choc</t>
  </si>
  <si>
    <t>br</t>
  </si>
  <si>
    <t>tet</t>
  </si>
  <si>
    <t>rv</t>
  </si>
  <si>
    <t>bpw</t>
  </si>
  <si>
    <t>cmh</t>
  </si>
  <si>
    <t>cin</t>
  </si>
  <si>
    <t># Batch Remaining</t>
  </si>
  <si>
    <t>Order Status</t>
  </si>
  <si>
    <t>Bi-weekly Usage</t>
  </si>
  <si>
    <t>Unit</t>
  </si>
  <si>
    <t>17mL Plate</t>
  </si>
  <si>
    <t>Units</t>
  </si>
  <si>
    <t>Muller Hinton Plain Agar</t>
  </si>
  <si>
    <t>15x150mm Plate</t>
  </si>
  <si>
    <t>Phenylethyl Alcohol Agar</t>
  </si>
  <si>
    <t>Muller Hinton + 5% Sheep Blood</t>
  </si>
  <si>
    <t>34mL Plate</t>
  </si>
  <si>
    <t>Muller-Hinton, 4% salt, OX-6</t>
  </si>
  <si>
    <t>Skirrow's Agar</t>
  </si>
  <si>
    <t>Salmonella-Shigella Agar</t>
  </si>
  <si>
    <t>Biomedia Inventory</t>
  </si>
  <si>
    <t>Oxoid Inventory</t>
  </si>
  <si>
    <t>Threshold</t>
  </si>
  <si>
    <t>Comment</t>
  </si>
  <si>
    <t>Mycosl Agar (Double-Fill)</t>
  </si>
  <si>
    <t>Chocolate Muller-Hinton Agar</t>
  </si>
  <si>
    <t>Bufferd Peptone Water</t>
  </si>
  <si>
    <t>150mm Plate</t>
  </si>
  <si>
    <t>9mL Bottle</t>
  </si>
  <si>
    <t>10mL Tube</t>
  </si>
  <si>
    <t>9mL Tube</t>
  </si>
  <si>
    <t>5mL Tube</t>
  </si>
  <si>
    <t>3mL Tube</t>
  </si>
  <si>
    <t>8mL Tube</t>
  </si>
  <si>
    <t>zoties only</t>
  </si>
  <si>
    <t>BA 3733989 231122</t>
  </si>
  <si>
    <t>MAC 3736061 231211</t>
  </si>
  <si>
    <t>CHOC 3725987 231116</t>
  </si>
  <si>
    <t>RV 230817003 240217</t>
  </si>
  <si>
    <t>DefaultUnit Per Entry</t>
  </si>
  <si>
    <t>BA 3738209 231201</t>
  </si>
  <si>
    <t>BA 3741543 231207</t>
  </si>
  <si>
    <t>3741543</t>
  </si>
  <si>
    <t>MAC 3742440 231222</t>
  </si>
  <si>
    <t>BR 3740158 231121</t>
  </si>
  <si>
    <t>PEA 3733944 231107</t>
  </si>
  <si>
    <t>TET 230911005 240311</t>
  </si>
  <si>
    <t>TET 231013030 240413</t>
  </si>
  <si>
    <t>3742440</t>
  </si>
  <si>
    <t>3733944</t>
  </si>
  <si>
    <t>3740158</t>
  </si>
  <si>
    <t>231013030</t>
  </si>
  <si>
    <t>RV 230913009 240313</t>
  </si>
  <si>
    <t>RV 230922008 240322</t>
  </si>
  <si>
    <t>HEK 3737266 231218</t>
  </si>
  <si>
    <t>3737266</t>
  </si>
  <si>
    <t>230922008</t>
  </si>
  <si>
    <t>CMH 230928002 231128</t>
  </si>
  <si>
    <t>SAB 3739679 231218</t>
  </si>
  <si>
    <t>3725987</t>
  </si>
  <si>
    <t>3739679</t>
  </si>
  <si>
    <t>230928002</t>
  </si>
  <si>
    <t>CIN 231016027 231216</t>
  </si>
  <si>
    <t>231016027</t>
  </si>
  <si>
    <t>thi</t>
  </si>
  <si>
    <t>myc</t>
  </si>
  <si>
    <t>cha</t>
  </si>
  <si>
    <t>CHA 230831069 231031</t>
  </si>
  <si>
    <t>CHA 231016026 231216</t>
  </si>
  <si>
    <t>MYC 230927053 231227</t>
  </si>
  <si>
    <t>TSA 230921038 231221</t>
  </si>
  <si>
    <t>BGS 230831074 231131</t>
  </si>
  <si>
    <t>BG 230831074 231131</t>
  </si>
  <si>
    <t>BGS 230927051 2312227</t>
  </si>
  <si>
    <t>BGS 231016025 240116</t>
  </si>
  <si>
    <t>XLT 3727573 231121</t>
  </si>
  <si>
    <t>XLT 3733951 231205</t>
  </si>
  <si>
    <t>3733951</t>
  </si>
  <si>
    <t>231016025</t>
  </si>
  <si>
    <t>231016026</t>
  </si>
  <si>
    <t>230927053</t>
  </si>
  <si>
    <t>min</t>
  </si>
  <si>
    <t>20 box</t>
  </si>
  <si>
    <t>Date Today</t>
  </si>
  <si>
    <t>Days Until Expire</t>
  </si>
  <si>
    <t>Counts (from barcode)</t>
  </si>
  <si>
    <t>Counts (initial)</t>
  </si>
  <si>
    <t>Total Units Remain</t>
  </si>
  <si>
    <r>
      <rPr>
        <b/>
        <u/>
        <sz val="14"/>
        <color theme="1"/>
        <rFont val="Times New Roman"/>
        <family val="1"/>
      </rPr>
      <t>Instructions (Regular use/receive):</t>
    </r>
    <r>
      <rPr>
        <sz val="11"/>
        <color theme="1"/>
        <rFont val="Times New Roman"/>
        <family val="1"/>
      </rPr>
      <t xml:space="preserve">
1. </t>
    </r>
    <r>
      <rPr>
        <b/>
        <sz val="11"/>
        <color rgb="FFFF0000"/>
        <rFont val="Times New Roman"/>
        <family val="1"/>
      </rPr>
      <t>Used media:</t>
    </r>
    <r>
      <rPr>
        <sz val="11"/>
        <color theme="1"/>
        <rFont val="Times New Roman"/>
        <family val="1"/>
      </rPr>
      <t xml:space="preserve"> go to "receiving" worksheet and scan the barcode of used media to the "used_barcode" column, then enter the amount used in "Units" column just the the right of the barcode entered. (Note: If nothing is entered in the "Units" column, the program will automatically assumed it is a full batch used. Hence the unit will equal to unit from "DefaultUnit Per Entry" column in "master_list")
2. </t>
    </r>
    <r>
      <rPr>
        <b/>
        <sz val="11"/>
        <color rgb="FFFF0000"/>
        <rFont val="Times New Roman"/>
        <family val="1"/>
      </rPr>
      <t>Received media:</t>
    </r>
    <r>
      <rPr>
        <sz val="11"/>
        <color theme="1"/>
        <rFont val="Times New Roman"/>
        <family val="1"/>
      </rPr>
      <t xml:space="preserve"> go to "receiving" worksheet and scan the barcode to the "received_barcode" column. If the received unit is different from the default unit, then just enter the unit to the "Units" column to the right of received barcode. 
3. Refresh "receiving" worksheet: if at any point people want to refresh the "receiving" worksheet or simply make a new one. Just copy "Exact Count:" to "Initial Count", then 1) remove all entry from "receiving" worksheet or 2) make a new one.
</t>
    </r>
    <r>
      <rPr>
        <b/>
        <u/>
        <sz val="14"/>
        <color theme="1"/>
        <rFont val="Times New Roman"/>
        <family val="1"/>
      </rPr>
      <t>Instructions (ordering):</t>
    </r>
    <r>
      <rPr>
        <b/>
        <u/>
        <sz val="11"/>
        <color theme="1"/>
        <rFont val="Times New Roman"/>
        <family val="1"/>
      </rPr>
      <t xml:space="preserve">
</t>
    </r>
    <r>
      <rPr>
        <sz val="11"/>
        <color theme="1"/>
        <rFont val="Times New Roman"/>
        <family val="1"/>
      </rPr>
      <t xml:space="preserve">1. If all media use/receive have been recorded in receiving worksheet properly. Simply order those media with Order Status coloured in </t>
    </r>
    <r>
      <rPr>
        <sz val="11"/>
        <color rgb="FFFF0000"/>
        <rFont val="Times New Roman"/>
        <family val="1"/>
      </rPr>
      <t>"RED"</t>
    </r>
    <r>
      <rPr>
        <sz val="11"/>
        <color theme="1"/>
        <rFont val="Times New Roman"/>
        <family val="1"/>
      </rPr>
      <t xml:space="preserve"> by the amount shown in the "Order Status" Column in "master_list" worksheet.
2. Before completing the order, please also checl whether the expiry date is in the </t>
    </r>
    <r>
      <rPr>
        <sz val="11"/>
        <color rgb="FF00B050"/>
        <rFont val="Times New Roman"/>
        <family val="1"/>
      </rPr>
      <t>"GREEN"</t>
    </r>
    <r>
      <rPr>
        <sz val="11"/>
        <color theme="1"/>
        <rFont val="Times New Roman"/>
        <family val="1"/>
      </rPr>
      <t xml:space="preserve"> zone (21+ days before expiry). If it is less than 21 days, it will turn to yellow/orange until it reaches 0. 
3. If you wish to modify how many used per week, simply change the value from "Threshold" to the unit you want before aler appears. (Note: the "Threshold" column is the one used for calculation, and "Bi-weekly Usage" column is just a reference with no functionality built to it. )
</t>
    </r>
    <r>
      <rPr>
        <b/>
        <u/>
        <sz val="14"/>
        <color theme="1"/>
        <rFont val="Times New Roman"/>
        <family val="1"/>
      </rPr>
      <t>Instructions (expansion):</t>
    </r>
    <r>
      <rPr>
        <sz val="11"/>
        <color theme="1"/>
        <rFont val="Times New Roman"/>
        <family val="1"/>
      </rPr>
      <t xml:space="preserve">
- Adding new Media: Simply add the media by following the same format in master_list. To keep tract of the new media, simply add the symbol (not case sensitive) and start recording it in the "receiving" menu.
</t>
    </r>
    <r>
      <rPr>
        <b/>
        <u/>
        <sz val="11"/>
        <color theme="1"/>
        <rFont val="Times New Roman"/>
        <family val="1"/>
      </rPr>
      <t xml:space="preserve">
</t>
    </r>
    <r>
      <rPr>
        <b/>
        <u/>
        <sz val="14"/>
        <color rgb="FFFF0000"/>
        <rFont val="Times New Roman"/>
        <family val="1"/>
      </rPr>
      <t>Important!!!</t>
    </r>
    <r>
      <rPr>
        <b/>
        <u/>
        <sz val="11"/>
        <color theme="1"/>
        <rFont val="Times New Roman"/>
        <family val="1"/>
      </rPr>
      <t xml:space="preserve">
</t>
    </r>
    <r>
      <rPr>
        <sz val="11"/>
        <color theme="1"/>
        <rFont val="Times New Roman"/>
        <family val="1"/>
      </rPr>
      <t xml:space="preserve">- Do not change worksheet name: "master_list" and "receiving" or else the program will not function properly.
- The program cannot keep tract of the media if the "symbol" column for that media is empty.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</si>
</sst>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2"/>
      <name val="Times New Roman"/>
      <family val="1"/>
    </font>
    <font>
      <sz val="12"/>
      <color theme="1"/>
      <name val="Times New Roman"/>
      <family val="1"/>
    </font>
    <font>
      <sz val="12"/>
      <color theme="1"/>
      <name val="Calibri"/>
      <family val="2"/>
      <scheme val="minor"/>
    </font>
    <font>
      <sz val="11"/>
      <color theme="1"/>
      <name val="Times New Roman"/>
      <family val="1"/>
    </font>
    <font>
      <b/>
      <sz val="11"/>
      <color rgb="FFFF0000"/>
      <name val="Times New Roman"/>
      <family val="1"/>
    </font>
    <font>
      <b/>
      <u/>
      <sz val="14"/>
      <color theme="1"/>
      <name val="Times New Roman"/>
      <family val="1"/>
    </font>
    <font>
      <b/>
      <u/>
      <sz val="11"/>
      <color theme="1"/>
      <name val="Times New Roman"/>
      <family val="1"/>
    </font>
    <font>
      <b/>
      <u/>
      <sz val="14"/>
      <color rgb="FFFF0000"/>
      <name val="Times New Roman"/>
      <family val="1"/>
    </font>
    <font>
      <sz val="11"/>
      <color rgb="FF00B050"/>
      <name val="Times New Roman"/>
      <family val="1"/>
    </font>
    <font>
      <sz val="11"/>
      <color rgb="FFFF0000"/>
      <name val="Times New Roman"/>
      <family val="1"/>
    </font>
  </fonts>
  <fills count="3">
    <fill>
      <patternFill patternType="none"/>
    </fill>
    <fill>
      <patternFill patternType="gray125"/>
    </fill>
    <fill>
      <patternFill patternType="solid">
        <fgColor theme="5" tint="0.59999389629810485"/>
        <bgColor indexed="64"/>
      </patternFill>
    </fill>
  </fills>
  <borders count="3">
    <border>
      <left/>
      <right/>
      <top/>
      <bottom/>
      <diagonal/>
    </border>
    <border>
      <left/>
      <right/>
      <top style="thin">
        <color indexed="64"/>
      </top>
      <bottom style="double">
        <color indexed="64"/>
      </bottom>
      <diagonal/>
    </border>
    <border>
      <left/>
      <right/>
      <top/>
      <bottom style="double">
        <color indexed="64"/>
      </bottom>
      <diagonal/>
    </border>
  </borders>
  <cellStyleXfs count="1">
    <xf numFmtId="0" fontId="0" fillId="0" borderId="0"/>
  </cellStyleXfs>
  <cellXfs count="20">
    <xf numFmtId="0" fontId="0" fillId="0" borderId="0" xfId="0"/>
    <xf numFmtId="49" fontId="0" fillId="0" borderId="0" xfId="0" applyNumberFormat="1" applyAlignment="1">
      <alignment horizontal="right"/>
    </xf>
    <xf numFmtId="14" fontId="0" fillId="0" borderId="0" xfId="0" applyNumberFormat="1"/>
    <xf numFmtId="0" fontId="2" fillId="0" borderId="0" xfId="0" applyFont="1"/>
    <xf numFmtId="0" fontId="1" fillId="0" borderId="0" xfId="0" applyFont="1" applyAlignment="1">
      <alignment horizontal="left" vertical="center"/>
    </xf>
    <xf numFmtId="49" fontId="2" fillId="0" borderId="0" xfId="0" applyNumberFormat="1" applyFont="1" applyAlignment="1">
      <alignment horizontal="left" vertical="center"/>
    </xf>
    <xf numFmtId="14" fontId="2" fillId="0" borderId="0" xfId="0" applyNumberFormat="1" applyFont="1" applyAlignment="1">
      <alignment horizontal="left" vertical="center"/>
    </xf>
    <xf numFmtId="0" fontId="2" fillId="0" borderId="0" xfId="0" applyFont="1" applyAlignment="1">
      <alignment horizontal="left" vertical="center"/>
    </xf>
    <xf numFmtId="0" fontId="1" fillId="2" borderId="1" xfId="0" applyFont="1" applyFill="1" applyBorder="1" applyAlignment="1">
      <alignment horizontal="left" vertical="center"/>
    </xf>
    <xf numFmtId="0" fontId="1" fillId="2" borderId="2" xfId="0" applyFont="1" applyFill="1" applyBorder="1" applyAlignment="1">
      <alignment horizontal="left" vertical="center"/>
    </xf>
    <xf numFmtId="49" fontId="2" fillId="2" borderId="2" xfId="0" applyNumberFormat="1" applyFont="1" applyFill="1" applyBorder="1" applyAlignment="1">
      <alignment horizontal="left" vertical="center"/>
    </xf>
    <xf numFmtId="14" fontId="2" fillId="2" borderId="2" xfId="0" applyNumberFormat="1" applyFont="1" applyFill="1" applyBorder="1" applyAlignment="1">
      <alignment horizontal="left" vertical="center"/>
    </xf>
    <xf numFmtId="0" fontId="2" fillId="2" borderId="2" xfId="0" applyFont="1" applyFill="1" applyBorder="1" applyAlignment="1">
      <alignment horizontal="left" vertical="center"/>
    </xf>
    <xf numFmtId="0" fontId="2" fillId="2" borderId="2" xfId="0" applyFont="1" applyFill="1" applyBorder="1"/>
    <xf numFmtId="0" fontId="3" fillId="0" borderId="0" xfId="0" applyFont="1" applyAlignment="1">
      <alignment horizontal="left" vertical="center"/>
    </xf>
    <xf numFmtId="0" fontId="2" fillId="2" borderId="0" xfId="0" applyFont="1" applyFill="1" applyBorder="1" applyAlignment="1">
      <alignment horizontal="left" vertical="center"/>
    </xf>
    <xf numFmtId="14" fontId="2" fillId="0" borderId="0" xfId="0" applyNumberFormat="1" applyFont="1"/>
    <xf numFmtId="0" fontId="4" fillId="0" borderId="0" xfId="0" applyFont="1" applyAlignment="1">
      <alignment horizontal="left" vertical="top" wrapText="1"/>
    </xf>
    <xf numFmtId="0" fontId="4" fillId="0" borderId="0" xfId="0" applyFont="1" applyAlignment="1">
      <alignment horizontal="left" vertical="top"/>
    </xf>
    <xf numFmtId="0" fontId="0" fillId="0" borderId="0" xfId="0" applyAlignment="1"/>
  </cellXfs>
  <cellStyles count="1">
    <cellStyle name="Normal" xfId="0" builtinId="0"/>
  </cellStyles>
  <dxfs count="0"/>
  <tableStyles count="0" defaultTableStyle="TableStyleMedium2" defaultPivotStyle="PivotStyleLight16"/>
  <colors>
    <mruColors>
      <color rgb="FFFF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tabSelected="1" workbookViewId="0">
      <selection activeCell="Q12" sqref="Q12"/>
    </sheetView>
  </sheetViews>
  <sheetFormatPr defaultRowHeight="15" x14ac:dyDescent="0.25"/>
  <sheetData>
    <row r="1" spans="1:20" x14ac:dyDescent="0.25">
      <c r="A1" s="17" t="s">
        <v>129</v>
      </c>
      <c r="B1" s="18"/>
      <c r="C1" s="18"/>
      <c r="D1" s="18"/>
      <c r="E1" s="18"/>
      <c r="F1" s="18"/>
      <c r="G1" s="18"/>
      <c r="H1" s="18"/>
      <c r="I1" s="18"/>
      <c r="J1" s="18"/>
      <c r="K1" s="18"/>
      <c r="L1" s="18"/>
      <c r="M1" s="18"/>
      <c r="N1" s="18"/>
      <c r="O1" s="18"/>
      <c r="P1" s="18"/>
      <c r="Q1" s="19"/>
      <c r="R1" s="19"/>
      <c r="S1" s="19"/>
      <c r="T1" s="19"/>
    </row>
    <row r="2" spans="1:20" x14ac:dyDescent="0.25">
      <c r="A2" s="18"/>
      <c r="B2" s="18"/>
      <c r="C2" s="18"/>
      <c r="D2" s="18"/>
      <c r="E2" s="18"/>
      <c r="F2" s="18"/>
      <c r="G2" s="18"/>
      <c r="H2" s="18"/>
      <c r="I2" s="18"/>
      <c r="J2" s="18"/>
      <c r="K2" s="18"/>
      <c r="L2" s="18"/>
      <c r="M2" s="18"/>
      <c r="N2" s="18"/>
      <c r="O2" s="18"/>
      <c r="P2" s="18"/>
      <c r="Q2" s="19"/>
      <c r="R2" s="19"/>
      <c r="S2" s="19"/>
      <c r="T2" s="19"/>
    </row>
    <row r="3" spans="1:20" x14ac:dyDescent="0.25">
      <c r="A3" s="18"/>
      <c r="B3" s="18"/>
      <c r="C3" s="18"/>
      <c r="D3" s="18"/>
      <c r="E3" s="18"/>
      <c r="F3" s="18"/>
      <c r="G3" s="18"/>
      <c r="H3" s="18"/>
      <c r="I3" s="18"/>
      <c r="J3" s="18"/>
      <c r="K3" s="18"/>
      <c r="L3" s="18"/>
      <c r="M3" s="18"/>
      <c r="N3" s="18"/>
      <c r="O3" s="18"/>
      <c r="P3" s="18"/>
      <c r="Q3" s="19"/>
      <c r="R3" s="19"/>
      <c r="S3" s="19"/>
      <c r="T3" s="19"/>
    </row>
    <row r="4" spans="1:20" x14ac:dyDescent="0.25">
      <c r="A4" s="18"/>
      <c r="B4" s="18"/>
      <c r="C4" s="18"/>
      <c r="D4" s="18"/>
      <c r="E4" s="18"/>
      <c r="F4" s="18"/>
      <c r="G4" s="18"/>
      <c r="H4" s="18"/>
      <c r="I4" s="18"/>
      <c r="J4" s="18"/>
      <c r="K4" s="18"/>
      <c r="L4" s="18"/>
      <c r="M4" s="18"/>
      <c r="N4" s="18"/>
      <c r="O4" s="18"/>
      <c r="P4" s="18"/>
      <c r="Q4" s="19"/>
      <c r="R4" s="19"/>
      <c r="S4" s="19"/>
      <c r="T4" s="19"/>
    </row>
    <row r="5" spans="1:20" x14ac:dyDescent="0.25">
      <c r="A5" s="18"/>
      <c r="B5" s="18"/>
      <c r="C5" s="18"/>
      <c r="D5" s="18"/>
      <c r="E5" s="18"/>
      <c r="F5" s="18"/>
      <c r="G5" s="18"/>
      <c r="H5" s="18"/>
      <c r="I5" s="18"/>
      <c r="J5" s="18"/>
      <c r="K5" s="18"/>
      <c r="L5" s="18"/>
      <c r="M5" s="18"/>
      <c r="N5" s="18"/>
      <c r="O5" s="18"/>
      <c r="P5" s="18"/>
      <c r="Q5" s="19"/>
      <c r="R5" s="19"/>
      <c r="S5" s="19"/>
      <c r="T5" s="19"/>
    </row>
    <row r="6" spans="1:20" x14ac:dyDescent="0.25">
      <c r="A6" s="18"/>
      <c r="B6" s="18"/>
      <c r="C6" s="18"/>
      <c r="D6" s="18"/>
      <c r="E6" s="18"/>
      <c r="F6" s="18"/>
      <c r="G6" s="18"/>
      <c r="H6" s="18"/>
      <c r="I6" s="18"/>
      <c r="J6" s="18"/>
      <c r="K6" s="18"/>
      <c r="L6" s="18"/>
      <c r="M6" s="18"/>
      <c r="N6" s="18"/>
      <c r="O6" s="18"/>
      <c r="P6" s="18"/>
      <c r="Q6" s="19"/>
      <c r="R6" s="19"/>
      <c r="S6" s="19"/>
      <c r="T6" s="19"/>
    </row>
    <row r="7" spans="1:20" x14ac:dyDescent="0.25">
      <c r="A7" s="18"/>
      <c r="B7" s="18"/>
      <c r="C7" s="18"/>
      <c r="D7" s="18"/>
      <c r="E7" s="18"/>
      <c r="F7" s="18"/>
      <c r="G7" s="18"/>
      <c r="H7" s="18"/>
      <c r="I7" s="18"/>
      <c r="J7" s="18"/>
      <c r="K7" s="18"/>
      <c r="L7" s="18"/>
      <c r="M7" s="18"/>
      <c r="N7" s="18"/>
      <c r="O7" s="18"/>
      <c r="P7" s="18"/>
      <c r="Q7" s="19"/>
      <c r="R7" s="19"/>
      <c r="S7" s="19"/>
      <c r="T7" s="19"/>
    </row>
    <row r="8" spans="1:20" x14ac:dyDescent="0.25">
      <c r="A8" s="18"/>
      <c r="B8" s="18"/>
      <c r="C8" s="18"/>
      <c r="D8" s="18"/>
      <c r="E8" s="18"/>
      <c r="F8" s="18"/>
      <c r="G8" s="18"/>
      <c r="H8" s="18"/>
      <c r="I8" s="18"/>
      <c r="J8" s="18"/>
      <c r="K8" s="18"/>
      <c r="L8" s="18"/>
      <c r="M8" s="18"/>
      <c r="N8" s="18"/>
      <c r="O8" s="18"/>
      <c r="P8" s="18"/>
      <c r="Q8" s="19"/>
      <c r="R8" s="19"/>
      <c r="S8" s="19"/>
      <c r="T8" s="19"/>
    </row>
    <row r="9" spans="1:20" x14ac:dyDescent="0.25">
      <c r="A9" s="18"/>
      <c r="B9" s="18"/>
      <c r="C9" s="18"/>
      <c r="D9" s="18"/>
      <c r="E9" s="18"/>
      <c r="F9" s="18"/>
      <c r="G9" s="18"/>
      <c r="H9" s="18"/>
      <c r="I9" s="18"/>
      <c r="J9" s="18"/>
      <c r="K9" s="18"/>
      <c r="L9" s="18"/>
      <c r="M9" s="18"/>
      <c r="N9" s="18"/>
      <c r="O9" s="18"/>
      <c r="P9" s="18"/>
      <c r="Q9" s="19"/>
      <c r="R9" s="19"/>
      <c r="S9" s="19"/>
      <c r="T9" s="19"/>
    </row>
    <row r="10" spans="1:20" x14ac:dyDescent="0.25">
      <c r="A10" s="18"/>
      <c r="B10" s="18"/>
      <c r="C10" s="18"/>
      <c r="D10" s="18"/>
      <c r="E10" s="18"/>
      <c r="F10" s="18"/>
      <c r="G10" s="18"/>
      <c r="H10" s="18"/>
      <c r="I10" s="18"/>
      <c r="J10" s="18"/>
      <c r="K10" s="18"/>
      <c r="L10" s="18"/>
      <c r="M10" s="18"/>
      <c r="N10" s="18"/>
      <c r="O10" s="18"/>
      <c r="P10" s="18"/>
      <c r="Q10" s="19"/>
      <c r="R10" s="19"/>
      <c r="S10" s="19"/>
      <c r="T10" s="19"/>
    </row>
    <row r="11" spans="1:20" x14ac:dyDescent="0.25">
      <c r="A11" s="18"/>
      <c r="B11" s="18"/>
      <c r="C11" s="18"/>
      <c r="D11" s="18"/>
      <c r="E11" s="18"/>
      <c r="F11" s="18"/>
      <c r="G11" s="18"/>
      <c r="H11" s="18"/>
      <c r="I11" s="18"/>
      <c r="J11" s="18"/>
      <c r="K11" s="18"/>
      <c r="L11" s="18"/>
      <c r="M11" s="18"/>
      <c r="N11" s="18"/>
      <c r="O11" s="18"/>
      <c r="P11" s="18"/>
      <c r="Q11" s="19"/>
      <c r="R11" s="19"/>
      <c r="S11" s="19"/>
      <c r="T11" s="19"/>
    </row>
    <row r="12" spans="1:20" x14ac:dyDescent="0.25">
      <c r="A12" s="18"/>
      <c r="B12" s="18"/>
      <c r="C12" s="18"/>
      <c r="D12" s="18"/>
      <c r="E12" s="18"/>
      <c r="F12" s="18"/>
      <c r="G12" s="18"/>
      <c r="H12" s="18"/>
      <c r="I12" s="18"/>
      <c r="J12" s="18"/>
      <c r="K12" s="18"/>
      <c r="L12" s="18"/>
      <c r="M12" s="18"/>
      <c r="N12" s="18"/>
      <c r="O12" s="18"/>
      <c r="P12" s="18"/>
      <c r="Q12" s="19"/>
      <c r="R12" s="19"/>
      <c r="S12" s="19"/>
      <c r="T12" s="19"/>
    </row>
    <row r="13" spans="1:20" x14ac:dyDescent="0.25">
      <c r="A13" s="18"/>
      <c r="B13" s="18"/>
      <c r="C13" s="18"/>
      <c r="D13" s="18"/>
      <c r="E13" s="18"/>
      <c r="F13" s="18"/>
      <c r="G13" s="18"/>
      <c r="H13" s="18"/>
      <c r="I13" s="18"/>
      <c r="J13" s="18"/>
      <c r="K13" s="18"/>
      <c r="L13" s="18"/>
      <c r="M13" s="18"/>
      <c r="N13" s="18"/>
      <c r="O13" s="18"/>
      <c r="P13" s="18"/>
      <c r="Q13" s="19"/>
      <c r="R13" s="19"/>
      <c r="S13" s="19"/>
      <c r="T13" s="19"/>
    </row>
    <row r="14" spans="1:20" x14ac:dyDescent="0.25">
      <c r="A14" s="18"/>
      <c r="B14" s="18"/>
      <c r="C14" s="18"/>
      <c r="D14" s="18"/>
      <c r="E14" s="18"/>
      <c r="F14" s="18"/>
      <c r="G14" s="18"/>
      <c r="H14" s="18"/>
      <c r="I14" s="18"/>
      <c r="J14" s="18"/>
      <c r="K14" s="18"/>
      <c r="L14" s="18"/>
      <c r="M14" s="18"/>
      <c r="N14" s="18"/>
      <c r="O14" s="18"/>
      <c r="P14" s="18"/>
      <c r="Q14" s="19"/>
      <c r="R14" s="19"/>
      <c r="S14" s="19"/>
      <c r="T14" s="19"/>
    </row>
    <row r="15" spans="1:20" x14ac:dyDescent="0.25">
      <c r="A15" s="18"/>
      <c r="B15" s="18"/>
      <c r="C15" s="18"/>
      <c r="D15" s="18"/>
      <c r="E15" s="18"/>
      <c r="F15" s="18"/>
      <c r="G15" s="18"/>
      <c r="H15" s="18"/>
      <c r="I15" s="18"/>
      <c r="J15" s="18"/>
      <c r="K15" s="18"/>
      <c r="L15" s="18"/>
      <c r="M15" s="18"/>
      <c r="N15" s="18"/>
      <c r="O15" s="18"/>
      <c r="P15" s="18"/>
      <c r="Q15" s="19"/>
      <c r="R15" s="19"/>
      <c r="S15" s="19"/>
      <c r="T15" s="19"/>
    </row>
    <row r="16" spans="1:20" x14ac:dyDescent="0.25">
      <c r="A16" s="18"/>
      <c r="B16" s="18"/>
      <c r="C16" s="18"/>
      <c r="D16" s="18"/>
      <c r="E16" s="18"/>
      <c r="F16" s="18"/>
      <c r="G16" s="18"/>
      <c r="H16" s="18"/>
      <c r="I16" s="18"/>
      <c r="J16" s="18"/>
      <c r="K16" s="18"/>
      <c r="L16" s="18"/>
      <c r="M16" s="18"/>
      <c r="N16" s="18"/>
      <c r="O16" s="18"/>
      <c r="P16" s="18"/>
      <c r="Q16" s="19"/>
      <c r="R16" s="19"/>
      <c r="S16" s="19"/>
      <c r="T16" s="19"/>
    </row>
    <row r="17" spans="1:20" x14ac:dyDescent="0.25">
      <c r="A17" s="18"/>
      <c r="B17" s="18"/>
      <c r="C17" s="18"/>
      <c r="D17" s="18"/>
      <c r="E17" s="18"/>
      <c r="F17" s="18"/>
      <c r="G17" s="18"/>
      <c r="H17" s="18"/>
      <c r="I17" s="18"/>
      <c r="J17" s="18"/>
      <c r="K17" s="18"/>
      <c r="L17" s="18"/>
      <c r="M17" s="18"/>
      <c r="N17" s="18"/>
      <c r="O17" s="18"/>
      <c r="P17" s="18"/>
      <c r="Q17" s="19"/>
      <c r="R17" s="19"/>
      <c r="S17" s="19"/>
      <c r="T17" s="19"/>
    </row>
    <row r="18" spans="1:20" x14ac:dyDescent="0.25">
      <c r="A18" s="18"/>
      <c r="B18" s="18"/>
      <c r="C18" s="18"/>
      <c r="D18" s="18"/>
      <c r="E18" s="18"/>
      <c r="F18" s="18"/>
      <c r="G18" s="18"/>
      <c r="H18" s="18"/>
      <c r="I18" s="18"/>
      <c r="J18" s="18"/>
      <c r="K18" s="18"/>
      <c r="L18" s="18"/>
      <c r="M18" s="18"/>
      <c r="N18" s="18"/>
      <c r="O18" s="18"/>
      <c r="P18" s="18"/>
      <c r="Q18" s="19"/>
      <c r="R18" s="19"/>
      <c r="S18" s="19"/>
      <c r="T18" s="19"/>
    </row>
    <row r="19" spans="1:20" x14ac:dyDescent="0.25">
      <c r="A19" s="18"/>
      <c r="B19" s="18"/>
      <c r="C19" s="18"/>
      <c r="D19" s="18"/>
      <c r="E19" s="18"/>
      <c r="F19" s="18"/>
      <c r="G19" s="18"/>
      <c r="H19" s="18"/>
      <c r="I19" s="18"/>
      <c r="J19" s="18"/>
      <c r="K19" s="18"/>
      <c r="L19" s="18"/>
      <c r="M19" s="18"/>
      <c r="N19" s="18"/>
      <c r="O19" s="18"/>
      <c r="P19" s="18"/>
      <c r="Q19" s="19"/>
      <c r="R19" s="19"/>
      <c r="S19" s="19"/>
      <c r="T19" s="19"/>
    </row>
    <row r="20" spans="1:20" x14ac:dyDescent="0.25">
      <c r="A20" s="18"/>
      <c r="B20" s="18"/>
      <c r="C20" s="18"/>
      <c r="D20" s="18"/>
      <c r="E20" s="18"/>
      <c r="F20" s="18"/>
      <c r="G20" s="18"/>
      <c r="H20" s="18"/>
      <c r="I20" s="18"/>
      <c r="J20" s="18"/>
      <c r="K20" s="18"/>
      <c r="L20" s="18"/>
      <c r="M20" s="18"/>
      <c r="N20" s="18"/>
      <c r="O20" s="18"/>
      <c r="P20" s="18"/>
      <c r="Q20" s="19"/>
      <c r="R20" s="19"/>
      <c r="S20" s="19"/>
      <c r="T20" s="19"/>
    </row>
    <row r="21" spans="1:20" x14ac:dyDescent="0.25">
      <c r="A21" s="18"/>
      <c r="B21" s="18"/>
      <c r="C21" s="18"/>
      <c r="D21" s="18"/>
      <c r="E21" s="18"/>
      <c r="F21" s="18"/>
      <c r="G21" s="18"/>
      <c r="H21" s="18"/>
      <c r="I21" s="18"/>
      <c r="J21" s="18"/>
      <c r="K21" s="18"/>
      <c r="L21" s="18"/>
      <c r="M21" s="18"/>
      <c r="N21" s="18"/>
      <c r="O21" s="18"/>
      <c r="P21" s="18"/>
      <c r="Q21" s="19"/>
      <c r="R21" s="19"/>
      <c r="S21" s="19"/>
      <c r="T21" s="19"/>
    </row>
    <row r="22" spans="1:20" x14ac:dyDescent="0.25">
      <c r="A22" s="18"/>
      <c r="B22" s="18"/>
      <c r="C22" s="18"/>
      <c r="D22" s="18"/>
      <c r="E22" s="18"/>
      <c r="F22" s="18"/>
      <c r="G22" s="18"/>
      <c r="H22" s="18"/>
      <c r="I22" s="18"/>
      <c r="J22" s="18"/>
      <c r="K22" s="18"/>
      <c r="L22" s="18"/>
      <c r="M22" s="18"/>
      <c r="N22" s="18"/>
      <c r="O22" s="18"/>
      <c r="P22" s="18"/>
      <c r="Q22" s="19"/>
      <c r="R22" s="19"/>
      <c r="S22" s="19"/>
      <c r="T22" s="19"/>
    </row>
    <row r="23" spans="1:20" x14ac:dyDescent="0.25">
      <c r="A23" s="18"/>
      <c r="B23" s="18"/>
      <c r="C23" s="18"/>
      <c r="D23" s="18"/>
      <c r="E23" s="18"/>
      <c r="F23" s="18"/>
      <c r="G23" s="18"/>
      <c r="H23" s="18"/>
      <c r="I23" s="18"/>
      <c r="J23" s="18"/>
      <c r="K23" s="18"/>
      <c r="L23" s="18"/>
      <c r="M23" s="18"/>
      <c r="N23" s="18"/>
      <c r="O23" s="18"/>
      <c r="P23" s="18"/>
      <c r="Q23" s="19"/>
      <c r="R23" s="19"/>
      <c r="S23" s="19"/>
      <c r="T23" s="19"/>
    </row>
    <row r="24" spans="1:20" x14ac:dyDescent="0.25">
      <c r="A24" s="18"/>
      <c r="B24" s="18"/>
      <c r="C24" s="18"/>
      <c r="D24" s="18"/>
      <c r="E24" s="18"/>
      <c r="F24" s="18"/>
      <c r="G24" s="18"/>
      <c r="H24" s="18"/>
      <c r="I24" s="18"/>
      <c r="J24" s="18"/>
      <c r="K24" s="18"/>
      <c r="L24" s="18"/>
      <c r="M24" s="18"/>
      <c r="N24" s="18"/>
      <c r="O24" s="18"/>
      <c r="P24" s="18"/>
    </row>
    <row r="25" spans="1:20" x14ac:dyDescent="0.25">
      <c r="A25" s="18"/>
      <c r="B25" s="18"/>
      <c r="C25" s="18"/>
      <c r="D25" s="18"/>
      <c r="E25" s="18"/>
      <c r="F25" s="18"/>
      <c r="G25" s="18"/>
      <c r="H25" s="18"/>
      <c r="I25" s="18"/>
      <c r="J25" s="18"/>
      <c r="K25" s="18"/>
      <c r="L25" s="18"/>
      <c r="M25" s="18"/>
      <c r="N25" s="18"/>
      <c r="O25" s="18"/>
      <c r="P25" s="18"/>
    </row>
    <row r="26" spans="1:20" x14ac:dyDescent="0.25">
      <c r="A26" s="18"/>
      <c r="B26" s="18"/>
      <c r="C26" s="18"/>
      <c r="D26" s="18"/>
      <c r="E26" s="18"/>
      <c r="F26" s="18"/>
      <c r="G26" s="18"/>
      <c r="H26" s="18"/>
      <c r="I26" s="18"/>
      <c r="J26" s="18"/>
      <c r="K26" s="18"/>
      <c r="L26" s="18"/>
      <c r="M26" s="18"/>
      <c r="N26" s="18"/>
      <c r="O26" s="18"/>
      <c r="P26" s="18"/>
    </row>
    <row r="27" spans="1:20" x14ac:dyDescent="0.25">
      <c r="A27" s="18"/>
      <c r="B27" s="18"/>
      <c r="C27" s="18"/>
      <c r="D27" s="18"/>
      <c r="E27" s="18"/>
      <c r="F27" s="18"/>
      <c r="G27" s="18"/>
      <c r="H27" s="18"/>
      <c r="I27" s="18"/>
      <c r="J27" s="18"/>
      <c r="K27" s="18"/>
      <c r="L27" s="18"/>
      <c r="M27" s="18"/>
      <c r="N27" s="18"/>
      <c r="O27" s="18"/>
      <c r="P27" s="18"/>
    </row>
    <row r="28" spans="1:20" x14ac:dyDescent="0.25">
      <c r="A28" s="18"/>
      <c r="B28" s="18"/>
      <c r="C28" s="18"/>
      <c r="D28" s="18"/>
      <c r="E28" s="18"/>
      <c r="F28" s="18"/>
      <c r="G28" s="18"/>
      <c r="H28" s="18"/>
      <c r="I28" s="18"/>
      <c r="J28" s="18"/>
      <c r="K28" s="18"/>
      <c r="L28" s="18"/>
      <c r="M28" s="18"/>
      <c r="N28" s="18"/>
      <c r="O28" s="18"/>
      <c r="P28" s="18"/>
    </row>
    <row r="29" spans="1:20" x14ac:dyDescent="0.25">
      <c r="A29" s="18"/>
      <c r="B29" s="18"/>
      <c r="C29" s="18"/>
      <c r="D29" s="18"/>
      <c r="E29" s="18"/>
      <c r="F29" s="18"/>
      <c r="G29" s="18"/>
      <c r="H29" s="18"/>
      <c r="I29" s="18"/>
      <c r="J29" s="18"/>
      <c r="K29" s="18"/>
      <c r="L29" s="18"/>
      <c r="M29" s="18"/>
      <c r="N29" s="18"/>
      <c r="O29" s="18"/>
      <c r="P29" s="18"/>
    </row>
    <row r="30" spans="1:20" x14ac:dyDescent="0.25">
      <c r="A30" s="18"/>
      <c r="B30" s="18"/>
      <c r="C30" s="18"/>
      <c r="D30" s="18"/>
      <c r="E30" s="18"/>
      <c r="F30" s="18"/>
      <c r="G30" s="18"/>
      <c r="H30" s="18"/>
      <c r="I30" s="18"/>
      <c r="J30" s="18"/>
      <c r="K30" s="18"/>
      <c r="L30" s="18"/>
      <c r="M30" s="18"/>
      <c r="N30" s="18"/>
      <c r="O30" s="18"/>
      <c r="P30" s="18"/>
    </row>
    <row r="31" spans="1:20" x14ac:dyDescent="0.25">
      <c r="A31" s="18"/>
      <c r="B31" s="18"/>
      <c r="C31" s="18"/>
      <c r="D31" s="18"/>
      <c r="E31" s="18"/>
      <c r="F31" s="18"/>
      <c r="G31" s="18"/>
      <c r="H31" s="18"/>
      <c r="I31" s="18"/>
      <c r="J31" s="18"/>
      <c r="K31" s="18"/>
      <c r="L31" s="18"/>
      <c r="M31" s="18"/>
      <c r="N31" s="18"/>
      <c r="O31" s="18"/>
      <c r="P31" s="18"/>
    </row>
    <row r="32" spans="1:20" x14ac:dyDescent="0.25">
      <c r="A32" s="18"/>
      <c r="B32" s="18"/>
      <c r="C32" s="18"/>
      <c r="D32" s="18"/>
      <c r="E32" s="18"/>
      <c r="F32" s="18"/>
      <c r="G32" s="18"/>
      <c r="H32" s="18"/>
      <c r="I32" s="18"/>
      <c r="J32" s="18"/>
      <c r="K32" s="18"/>
      <c r="L32" s="18"/>
      <c r="M32" s="18"/>
      <c r="N32" s="18"/>
      <c r="O32" s="18"/>
      <c r="P32" s="18"/>
    </row>
    <row r="33" spans="1:16" x14ac:dyDescent="0.25">
      <c r="A33" s="18"/>
      <c r="B33" s="18"/>
      <c r="C33" s="18"/>
      <c r="D33" s="18"/>
      <c r="E33" s="18"/>
      <c r="F33" s="18"/>
      <c r="G33" s="18"/>
      <c r="H33" s="18"/>
      <c r="I33" s="18"/>
      <c r="J33" s="18"/>
      <c r="K33" s="18"/>
      <c r="L33" s="18"/>
      <c r="M33" s="18"/>
      <c r="N33" s="18"/>
      <c r="O33" s="18"/>
      <c r="P33" s="18"/>
    </row>
    <row r="34" spans="1:16" x14ac:dyDescent="0.25">
      <c r="A34" s="18"/>
      <c r="B34" s="18"/>
      <c r="C34" s="18"/>
      <c r="D34" s="18"/>
      <c r="E34" s="18"/>
      <c r="F34" s="18"/>
      <c r="G34" s="18"/>
      <c r="H34" s="18"/>
      <c r="I34" s="18"/>
      <c r="J34" s="18"/>
      <c r="K34" s="18"/>
      <c r="L34" s="18"/>
      <c r="M34" s="18"/>
      <c r="N34" s="18"/>
      <c r="O34" s="18"/>
      <c r="P34" s="18"/>
    </row>
  </sheetData>
  <mergeCells count="1">
    <mergeCell ref="A1:P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45"/>
  <sheetViews>
    <sheetView topLeftCell="E1" zoomScale="85" zoomScaleNormal="85" workbookViewId="0">
      <selection activeCell="R13" sqref="R13"/>
    </sheetView>
  </sheetViews>
  <sheetFormatPr defaultRowHeight="15.75" x14ac:dyDescent="0.25"/>
  <cols>
    <col min="1" max="1" width="38.140625" bestFit="1" customWidth="1"/>
    <col min="2" max="2" width="7.5703125" bestFit="1" customWidth="1"/>
    <col min="3" max="3" width="15.85546875" bestFit="1" customWidth="1"/>
    <col min="4" max="4" width="17.140625" bestFit="1" customWidth="1"/>
    <col min="5" max="5" width="22.140625" bestFit="1" customWidth="1"/>
    <col min="6" max="7" width="16" customWidth="1"/>
    <col min="8" max="8" width="20" style="1" customWidth="1"/>
    <col min="9" max="9" width="17.140625" style="2" customWidth="1"/>
    <col min="10" max="10" width="19.28515625" bestFit="1" customWidth="1"/>
    <col min="11" max="11" width="23.7109375" bestFit="1" customWidth="1"/>
    <col min="12" max="12" width="15.28515625" bestFit="1" customWidth="1"/>
    <col min="13" max="13" width="30.5703125" customWidth="1"/>
    <col min="14" max="14" width="13.42578125" style="3" bestFit="1" customWidth="1"/>
    <col min="15" max="15" width="17.5703125" bestFit="1" customWidth="1"/>
    <col min="16" max="16" width="13.42578125" bestFit="1" customWidth="1"/>
    <col min="17" max="17" width="12.28515625" bestFit="1" customWidth="1"/>
    <col min="18" max="18" width="12.85546875" bestFit="1" customWidth="1"/>
  </cols>
  <sheetData>
    <row r="1" spans="1:18" ht="16.5" thickBot="1" x14ac:dyDescent="0.3">
      <c r="A1" s="8" t="s">
        <v>62</v>
      </c>
      <c r="B1" s="9" t="s">
        <v>27</v>
      </c>
      <c r="C1" s="9" t="s">
        <v>50</v>
      </c>
      <c r="D1" s="9" t="s">
        <v>49</v>
      </c>
      <c r="E1" s="9" t="s">
        <v>80</v>
      </c>
      <c r="F1" s="9" t="s">
        <v>63</v>
      </c>
      <c r="G1" s="9" t="s">
        <v>64</v>
      </c>
      <c r="H1" s="10" t="s">
        <v>28</v>
      </c>
      <c r="I1" s="11" t="s">
        <v>29</v>
      </c>
      <c r="J1" s="12" t="s">
        <v>47</v>
      </c>
      <c r="K1" s="12" t="s">
        <v>126</v>
      </c>
      <c r="L1" s="12" t="s">
        <v>127</v>
      </c>
      <c r="M1" s="12" t="s">
        <v>128</v>
      </c>
      <c r="N1" s="12" t="s">
        <v>48</v>
      </c>
      <c r="O1" s="12" t="s">
        <v>125</v>
      </c>
      <c r="Q1" s="15" t="s">
        <v>124</v>
      </c>
      <c r="R1" s="16">
        <f ca="1">TODAY()</f>
        <v>45232</v>
      </c>
    </row>
    <row r="2" spans="1:18" ht="16.5" thickTop="1" x14ac:dyDescent="0.25">
      <c r="A2" s="4" t="s">
        <v>25</v>
      </c>
      <c r="B2" s="4" t="s">
        <v>30</v>
      </c>
      <c r="C2" s="4" t="s">
        <v>51</v>
      </c>
      <c r="D2" s="4">
        <v>6000</v>
      </c>
      <c r="E2" s="4">
        <v>100</v>
      </c>
      <c r="F2" s="4">
        <f>_xlfn.FLOOR.MATH(D2*0.33)</f>
        <v>1980</v>
      </c>
      <c r="G2" s="4"/>
      <c r="H2" s="5" t="s">
        <v>83</v>
      </c>
      <c r="I2" s="6">
        <v>45267</v>
      </c>
      <c r="J2" s="7">
        <v>22</v>
      </c>
      <c r="K2" s="7">
        <v>2289</v>
      </c>
      <c r="L2" s="7"/>
      <c r="M2" s="7">
        <f>K2+L2</f>
        <v>2289</v>
      </c>
      <c r="N2" s="7">
        <f>M2-F2</f>
        <v>309</v>
      </c>
      <c r="O2" s="3">
        <f ca="1">MAX(0, I2-$R$1)</f>
        <v>35</v>
      </c>
    </row>
    <row r="3" spans="1:18" x14ac:dyDescent="0.25">
      <c r="A3" s="4" t="s">
        <v>26</v>
      </c>
      <c r="B3" s="4" t="s">
        <v>31</v>
      </c>
      <c r="C3" s="4" t="s">
        <v>51</v>
      </c>
      <c r="D3" s="4">
        <v>2400</v>
      </c>
      <c r="E3" s="4">
        <v>100</v>
      </c>
      <c r="F3" s="4">
        <f t="shared" ref="F3:F14" si="0">_xlfn.FLOOR.MATH(D3*0.33)</f>
        <v>792</v>
      </c>
      <c r="G3" s="4"/>
      <c r="H3" s="5" t="s">
        <v>89</v>
      </c>
      <c r="I3" s="6">
        <v>45282</v>
      </c>
      <c r="J3" s="7">
        <v>7</v>
      </c>
      <c r="K3" s="7">
        <v>700</v>
      </c>
      <c r="L3" s="7"/>
      <c r="M3" s="7">
        <f t="shared" ref="M3:M36" si="1">K3+L3</f>
        <v>700</v>
      </c>
      <c r="N3" s="7">
        <f t="shared" ref="N3:N36" si="2">M3-F3</f>
        <v>-92</v>
      </c>
      <c r="O3" s="3">
        <f ca="1">MAX(0, I3-$R$1)</f>
        <v>50</v>
      </c>
    </row>
    <row r="4" spans="1:18" x14ac:dyDescent="0.25">
      <c r="A4" s="4" t="s">
        <v>24</v>
      </c>
      <c r="B4" s="4" t="s">
        <v>36</v>
      </c>
      <c r="C4" s="4" t="s">
        <v>51</v>
      </c>
      <c r="D4" s="4">
        <v>1000</v>
      </c>
      <c r="E4" s="4">
        <v>100</v>
      </c>
      <c r="F4" s="4">
        <f t="shared" si="0"/>
        <v>330</v>
      </c>
      <c r="G4" s="4"/>
      <c r="H4" s="5" t="s">
        <v>118</v>
      </c>
      <c r="I4" s="6">
        <v>45265</v>
      </c>
      <c r="J4" s="7">
        <v>5</v>
      </c>
      <c r="K4" s="7">
        <v>500</v>
      </c>
      <c r="L4" s="7"/>
      <c r="M4" s="7">
        <f t="shared" si="1"/>
        <v>500</v>
      </c>
      <c r="N4" s="7">
        <f t="shared" si="2"/>
        <v>170</v>
      </c>
      <c r="O4" s="3">
        <f ca="1">MAX(0, I4-$R$1)</f>
        <v>33</v>
      </c>
    </row>
    <row r="5" spans="1:18" x14ac:dyDescent="0.25">
      <c r="A5" s="4" t="s">
        <v>53</v>
      </c>
      <c r="B5" s="4" t="s">
        <v>35</v>
      </c>
      <c r="C5" s="4" t="s">
        <v>54</v>
      </c>
      <c r="D5" s="4">
        <v>700</v>
      </c>
      <c r="E5" s="4">
        <v>0</v>
      </c>
      <c r="F5" s="4">
        <f t="shared" si="0"/>
        <v>231</v>
      </c>
      <c r="G5" s="4"/>
      <c r="H5" s="5"/>
      <c r="I5" s="6"/>
      <c r="J5" s="7">
        <v>0</v>
      </c>
      <c r="K5" s="7">
        <v>0</v>
      </c>
      <c r="L5" s="7"/>
      <c r="M5" s="7">
        <f t="shared" si="1"/>
        <v>0</v>
      </c>
      <c r="N5" s="7">
        <f t="shared" si="2"/>
        <v>-231</v>
      </c>
      <c r="O5" s="3">
        <f ca="1">MAX(0, I5-$R$1)</f>
        <v>0</v>
      </c>
    </row>
    <row r="6" spans="1:18" x14ac:dyDescent="0.25">
      <c r="A6" s="4" t="s">
        <v>55</v>
      </c>
      <c r="B6" s="4" t="s">
        <v>32</v>
      </c>
      <c r="C6" s="4" t="s">
        <v>51</v>
      </c>
      <c r="D6" s="4">
        <v>700</v>
      </c>
      <c r="E6" s="4">
        <v>100</v>
      </c>
      <c r="F6" s="4">
        <f t="shared" si="0"/>
        <v>231</v>
      </c>
      <c r="G6" s="4"/>
      <c r="H6" s="5" t="s">
        <v>90</v>
      </c>
      <c r="I6" s="6">
        <v>45237</v>
      </c>
      <c r="J6" s="7">
        <v>3</v>
      </c>
      <c r="K6" s="7">
        <v>290</v>
      </c>
      <c r="L6" s="7"/>
      <c r="M6" s="7">
        <f t="shared" si="1"/>
        <v>290</v>
      </c>
      <c r="N6" s="7">
        <f t="shared" si="2"/>
        <v>59</v>
      </c>
      <c r="O6" s="3">
        <f ca="1">MAX(0, I6-$R$1)</f>
        <v>5</v>
      </c>
    </row>
    <row r="7" spans="1:18" x14ac:dyDescent="0.25">
      <c r="A7" s="4" t="s">
        <v>22</v>
      </c>
      <c r="B7" s="4" t="s">
        <v>39</v>
      </c>
      <c r="C7" s="4" t="s">
        <v>51</v>
      </c>
      <c r="D7" s="4">
        <v>300</v>
      </c>
      <c r="E7" s="4">
        <v>100</v>
      </c>
      <c r="F7" s="4">
        <f t="shared" si="0"/>
        <v>99</v>
      </c>
      <c r="G7" s="4"/>
      <c r="H7" s="5" t="s">
        <v>96</v>
      </c>
      <c r="I7" s="6">
        <v>45278</v>
      </c>
      <c r="J7" s="7">
        <v>2</v>
      </c>
      <c r="K7" s="7">
        <v>160</v>
      </c>
      <c r="L7" s="7"/>
      <c r="M7" s="7">
        <f t="shared" si="1"/>
        <v>160</v>
      </c>
      <c r="N7" s="7">
        <f t="shared" si="2"/>
        <v>61</v>
      </c>
      <c r="O7" s="3">
        <f ca="1">MAX(0, I7-$R$1)</f>
        <v>46</v>
      </c>
    </row>
    <row r="8" spans="1:18" x14ac:dyDescent="0.25">
      <c r="A8" s="4" t="s">
        <v>56</v>
      </c>
      <c r="B8" s="4" t="s">
        <v>34</v>
      </c>
      <c r="C8" s="4" t="s">
        <v>54</v>
      </c>
      <c r="D8" s="4">
        <v>200</v>
      </c>
      <c r="E8" s="4">
        <v>0</v>
      </c>
      <c r="F8" s="4">
        <f t="shared" si="0"/>
        <v>66</v>
      </c>
      <c r="G8" s="4"/>
      <c r="H8" s="5"/>
      <c r="I8" s="6"/>
      <c r="J8" s="7">
        <v>0</v>
      </c>
      <c r="K8" s="7">
        <v>0</v>
      </c>
      <c r="L8" s="7"/>
      <c r="M8" s="7">
        <f t="shared" si="1"/>
        <v>0</v>
      </c>
      <c r="N8" s="7">
        <f t="shared" si="2"/>
        <v>-66</v>
      </c>
      <c r="O8" s="3">
        <f ca="1">MAX(0, I8-$R$1)</f>
        <v>0</v>
      </c>
    </row>
    <row r="9" spans="1:18" x14ac:dyDescent="0.25">
      <c r="A9" s="4" t="s">
        <v>20</v>
      </c>
      <c r="B9" s="4" t="s">
        <v>41</v>
      </c>
      <c r="C9" s="4" t="s">
        <v>51</v>
      </c>
      <c r="D9" s="4">
        <v>150</v>
      </c>
      <c r="E9" s="4">
        <v>100</v>
      </c>
      <c r="F9" s="4">
        <f t="shared" si="0"/>
        <v>49</v>
      </c>
      <c r="G9" s="4"/>
      <c r="H9" s="5" t="s">
        <v>91</v>
      </c>
      <c r="I9" s="6">
        <v>45251</v>
      </c>
      <c r="J9" s="7">
        <v>1</v>
      </c>
      <c r="K9" s="7">
        <v>40</v>
      </c>
      <c r="L9" s="7"/>
      <c r="M9" s="7">
        <f t="shared" si="1"/>
        <v>40</v>
      </c>
      <c r="N9" s="7">
        <f t="shared" si="2"/>
        <v>-9</v>
      </c>
      <c r="O9" s="3">
        <f ca="1">MAX(0, I9-$R$1)</f>
        <v>19</v>
      </c>
    </row>
    <row r="10" spans="1:18" x14ac:dyDescent="0.25">
      <c r="A10" s="4" t="s">
        <v>21</v>
      </c>
      <c r="B10" s="4" t="s">
        <v>40</v>
      </c>
      <c r="C10" s="4" t="s">
        <v>51</v>
      </c>
      <c r="D10" s="4">
        <v>100</v>
      </c>
      <c r="E10" s="4">
        <v>10</v>
      </c>
      <c r="F10" s="4">
        <f t="shared" si="0"/>
        <v>33</v>
      </c>
      <c r="G10" s="4"/>
      <c r="H10" s="5" t="s">
        <v>100</v>
      </c>
      <c r="I10" s="6">
        <v>45246</v>
      </c>
      <c r="J10" s="7">
        <v>4</v>
      </c>
      <c r="K10" s="7">
        <v>40</v>
      </c>
      <c r="L10" s="7"/>
      <c r="M10" s="7">
        <f t="shared" si="1"/>
        <v>40</v>
      </c>
      <c r="N10" s="7">
        <f t="shared" si="2"/>
        <v>7</v>
      </c>
      <c r="O10" s="3">
        <f ca="1">MAX(0, I10-$R$1)</f>
        <v>14</v>
      </c>
    </row>
    <row r="11" spans="1:18" x14ac:dyDescent="0.25">
      <c r="A11" s="4" t="s">
        <v>23</v>
      </c>
      <c r="B11" s="4" t="s">
        <v>38</v>
      </c>
      <c r="C11" s="4" t="s">
        <v>57</v>
      </c>
      <c r="D11" s="4">
        <v>50</v>
      </c>
      <c r="E11" s="4">
        <v>10</v>
      </c>
      <c r="F11" s="4">
        <f t="shared" si="0"/>
        <v>16</v>
      </c>
      <c r="G11" s="4"/>
      <c r="H11" s="5" t="s">
        <v>101</v>
      </c>
      <c r="I11" s="6">
        <v>45278</v>
      </c>
      <c r="J11" s="7">
        <v>1</v>
      </c>
      <c r="K11" s="7">
        <v>10</v>
      </c>
      <c r="L11" s="7"/>
      <c r="M11" s="7">
        <f t="shared" si="1"/>
        <v>10</v>
      </c>
      <c r="N11" s="7">
        <f t="shared" si="2"/>
        <v>-6</v>
      </c>
      <c r="O11" s="3">
        <f ca="1">MAX(0, I11-$R$1)</f>
        <v>46</v>
      </c>
    </row>
    <row r="12" spans="1:18" x14ac:dyDescent="0.25">
      <c r="A12" s="4" t="s">
        <v>58</v>
      </c>
      <c r="B12" s="4"/>
      <c r="C12" s="4" t="s">
        <v>51</v>
      </c>
      <c r="D12" s="4">
        <v>10</v>
      </c>
      <c r="E12" s="4">
        <v>0</v>
      </c>
      <c r="F12" s="4">
        <f t="shared" si="0"/>
        <v>3</v>
      </c>
      <c r="G12" s="4"/>
      <c r="H12" s="5"/>
      <c r="I12" s="6"/>
      <c r="J12" s="7"/>
      <c r="K12" s="7">
        <v>0</v>
      </c>
      <c r="L12" s="7"/>
      <c r="M12" s="7">
        <f t="shared" si="1"/>
        <v>0</v>
      </c>
      <c r="N12" s="7">
        <f t="shared" si="2"/>
        <v>-3</v>
      </c>
      <c r="O12" s="3">
        <f ca="1">MAX(0, I12-$R$1)</f>
        <v>0</v>
      </c>
    </row>
    <row r="13" spans="1:18" x14ac:dyDescent="0.25">
      <c r="A13" s="4" t="s">
        <v>59</v>
      </c>
      <c r="B13" s="4"/>
      <c r="C13" s="4" t="s">
        <v>51</v>
      </c>
      <c r="D13" s="4">
        <v>10</v>
      </c>
      <c r="E13" s="4">
        <v>0</v>
      </c>
      <c r="F13" s="4">
        <f t="shared" si="0"/>
        <v>3</v>
      </c>
      <c r="G13" s="4"/>
      <c r="H13" s="5"/>
      <c r="I13" s="6"/>
      <c r="J13" s="7"/>
      <c r="K13" s="7">
        <v>0</v>
      </c>
      <c r="L13" s="7"/>
      <c r="M13" s="7">
        <f t="shared" si="1"/>
        <v>0</v>
      </c>
      <c r="N13" s="7">
        <f t="shared" si="2"/>
        <v>-3</v>
      </c>
      <c r="O13" s="3">
        <f ca="1">MAX(0, I13-$R$1)</f>
        <v>0</v>
      </c>
    </row>
    <row r="14" spans="1:18" x14ac:dyDescent="0.25">
      <c r="A14" s="4" t="s">
        <v>60</v>
      </c>
      <c r="B14" s="4" t="s">
        <v>37</v>
      </c>
      <c r="C14" s="4" t="s">
        <v>51</v>
      </c>
      <c r="D14" s="4">
        <v>10</v>
      </c>
      <c r="E14" s="4">
        <v>0</v>
      </c>
      <c r="F14" s="4">
        <f t="shared" si="0"/>
        <v>3</v>
      </c>
      <c r="G14" s="4"/>
      <c r="H14" s="5"/>
      <c r="I14" s="6"/>
      <c r="J14" s="7">
        <v>0</v>
      </c>
      <c r="K14" s="7">
        <v>0</v>
      </c>
      <c r="L14" s="7"/>
      <c r="M14" s="7">
        <f t="shared" si="1"/>
        <v>0</v>
      </c>
      <c r="N14" s="7">
        <f t="shared" si="2"/>
        <v>-3</v>
      </c>
      <c r="O14" s="3">
        <f ca="1">MAX(0, I14-$R$1)</f>
        <v>0</v>
      </c>
    </row>
    <row r="15" spans="1:18" ht="16.5" thickBot="1" x14ac:dyDescent="0.3">
      <c r="A15" s="9" t="s">
        <v>61</v>
      </c>
      <c r="B15" s="9"/>
      <c r="C15" s="9"/>
      <c r="D15" s="9"/>
      <c r="E15" s="9"/>
      <c r="F15" s="9"/>
      <c r="G15" s="9"/>
      <c r="H15" s="10"/>
      <c r="I15" s="11"/>
      <c r="J15" s="12"/>
      <c r="K15" s="12">
        <v>0</v>
      </c>
      <c r="L15" s="12"/>
      <c r="M15" s="12">
        <v>0</v>
      </c>
      <c r="N15" s="12"/>
      <c r="O15" s="12"/>
    </row>
    <row r="16" spans="1:18" ht="16.5" thickTop="1" x14ac:dyDescent="0.25">
      <c r="A16" s="4" t="s">
        <v>2</v>
      </c>
      <c r="B16" s="4" t="s">
        <v>33</v>
      </c>
      <c r="C16" s="4" t="s">
        <v>51</v>
      </c>
      <c r="D16" s="4">
        <v>1800</v>
      </c>
      <c r="E16" s="4">
        <v>100</v>
      </c>
      <c r="F16" s="4">
        <f>_xlfn.FLOOR.MATH(D16*0.33)</f>
        <v>594</v>
      </c>
      <c r="G16" s="4">
        <v>100</v>
      </c>
      <c r="H16" s="5" t="s">
        <v>119</v>
      </c>
      <c r="I16" s="6">
        <v>45307</v>
      </c>
      <c r="J16" s="7">
        <v>4</v>
      </c>
      <c r="K16" s="7">
        <v>400</v>
      </c>
      <c r="L16" s="7"/>
      <c r="M16" s="7">
        <f t="shared" si="1"/>
        <v>400</v>
      </c>
      <c r="N16" s="7">
        <f t="shared" si="2"/>
        <v>-194</v>
      </c>
      <c r="O16" s="3">
        <f ca="1">MAX(0, I16-$R$1)</f>
        <v>75</v>
      </c>
    </row>
    <row r="17" spans="1:15" x14ac:dyDescent="0.25">
      <c r="A17" s="4" t="s">
        <v>3</v>
      </c>
      <c r="B17" s="4" t="s">
        <v>107</v>
      </c>
      <c r="C17" s="4" t="s">
        <v>51</v>
      </c>
      <c r="D17" s="4">
        <v>100</v>
      </c>
      <c r="E17" s="4">
        <v>10</v>
      </c>
      <c r="F17" s="4">
        <v>100</v>
      </c>
      <c r="G17" s="4" t="s">
        <v>122</v>
      </c>
      <c r="H17" s="5" t="s">
        <v>120</v>
      </c>
      <c r="I17" s="6">
        <v>45276</v>
      </c>
      <c r="J17" s="7">
        <v>7</v>
      </c>
      <c r="K17" s="7">
        <v>70</v>
      </c>
      <c r="L17" s="7"/>
      <c r="M17" s="7">
        <f t="shared" si="1"/>
        <v>70</v>
      </c>
      <c r="N17" s="7">
        <f t="shared" si="2"/>
        <v>-30</v>
      </c>
      <c r="O17" s="3">
        <f ca="1">MAX(0, I17-$R$1)</f>
        <v>44</v>
      </c>
    </row>
    <row r="18" spans="1:15" x14ac:dyDescent="0.25">
      <c r="A18" s="4" t="s">
        <v>4</v>
      </c>
      <c r="B18" s="4" t="s">
        <v>46</v>
      </c>
      <c r="C18" s="4" t="s">
        <v>51</v>
      </c>
      <c r="D18" s="4">
        <v>30</v>
      </c>
      <c r="E18" s="4">
        <v>10</v>
      </c>
      <c r="F18" s="4">
        <v>10</v>
      </c>
      <c r="G18" s="4" t="s">
        <v>122</v>
      </c>
      <c r="H18" s="5" t="s">
        <v>104</v>
      </c>
      <c r="I18" s="6">
        <v>45276</v>
      </c>
      <c r="J18" s="7">
        <v>4</v>
      </c>
      <c r="K18" s="7">
        <v>40</v>
      </c>
      <c r="L18" s="7"/>
      <c r="M18" s="7">
        <f t="shared" si="1"/>
        <v>40</v>
      </c>
      <c r="N18" s="7">
        <f t="shared" si="2"/>
        <v>30</v>
      </c>
      <c r="O18" s="3">
        <f ca="1">MAX(0, I18-$R$1)</f>
        <v>44</v>
      </c>
    </row>
    <row r="19" spans="1:15" x14ac:dyDescent="0.25">
      <c r="A19" s="4" t="s">
        <v>5</v>
      </c>
      <c r="B19" s="4"/>
      <c r="C19" s="4" t="s">
        <v>51</v>
      </c>
      <c r="D19" s="4">
        <v>10</v>
      </c>
      <c r="E19" s="4">
        <v>0</v>
      </c>
      <c r="F19" s="4">
        <v>10</v>
      </c>
      <c r="G19" s="4"/>
      <c r="H19" s="5"/>
      <c r="I19" s="6"/>
      <c r="J19" s="7"/>
      <c r="K19" s="7">
        <v>0</v>
      </c>
      <c r="L19" s="7"/>
      <c r="M19" s="7">
        <f t="shared" si="1"/>
        <v>0</v>
      </c>
      <c r="N19" s="7">
        <f t="shared" si="2"/>
        <v>-10</v>
      </c>
      <c r="O19" s="3">
        <f ca="1">MAX(0, I19-$R$1)</f>
        <v>0</v>
      </c>
    </row>
    <row r="20" spans="1:15" x14ac:dyDescent="0.25">
      <c r="A20" s="4" t="s">
        <v>6</v>
      </c>
      <c r="B20" s="4"/>
      <c r="C20" s="4" t="s">
        <v>51</v>
      </c>
      <c r="D20" s="4">
        <v>10</v>
      </c>
      <c r="E20" s="4">
        <v>0</v>
      </c>
      <c r="F20" s="4">
        <v>10</v>
      </c>
      <c r="G20" s="4"/>
      <c r="H20" s="5"/>
      <c r="I20" s="6"/>
      <c r="J20" s="7"/>
      <c r="K20" s="7">
        <v>0</v>
      </c>
      <c r="L20" s="7"/>
      <c r="M20" s="7">
        <f t="shared" si="1"/>
        <v>0</v>
      </c>
      <c r="N20" s="7">
        <f t="shared" si="2"/>
        <v>-10</v>
      </c>
      <c r="O20" s="3">
        <f ca="1">MAX(0, I20-$R$1)</f>
        <v>0</v>
      </c>
    </row>
    <row r="21" spans="1:15" x14ac:dyDescent="0.25">
      <c r="A21" s="4" t="s">
        <v>65</v>
      </c>
      <c r="B21" s="4" t="s">
        <v>106</v>
      </c>
      <c r="C21" s="4" t="s">
        <v>57</v>
      </c>
      <c r="D21" s="4">
        <v>30</v>
      </c>
      <c r="E21" s="4">
        <v>10</v>
      </c>
      <c r="F21" s="4">
        <f t="shared" ref="F21:F36" si="3">_xlfn.FLOOR.MATH(D21*0.33)</f>
        <v>9</v>
      </c>
      <c r="G21" s="4" t="s">
        <v>122</v>
      </c>
      <c r="H21" s="5" t="s">
        <v>121</v>
      </c>
      <c r="I21" s="6">
        <v>45287</v>
      </c>
      <c r="J21" s="7">
        <v>2</v>
      </c>
      <c r="K21" s="7">
        <v>20</v>
      </c>
      <c r="L21" s="7"/>
      <c r="M21" s="7">
        <f t="shared" si="1"/>
        <v>20</v>
      </c>
      <c r="N21" s="7">
        <f t="shared" si="2"/>
        <v>11</v>
      </c>
      <c r="O21" s="3">
        <f ca="1">MAX(0, I21-$R$1)</f>
        <v>55</v>
      </c>
    </row>
    <row r="22" spans="1:15" x14ac:dyDescent="0.25">
      <c r="A22" s="4" t="s">
        <v>7</v>
      </c>
      <c r="B22" s="4"/>
      <c r="C22" s="4" t="s">
        <v>51</v>
      </c>
      <c r="D22" s="4">
        <v>10</v>
      </c>
      <c r="E22" s="4">
        <v>0</v>
      </c>
      <c r="F22" s="4">
        <v>10</v>
      </c>
      <c r="G22" s="4"/>
      <c r="H22" s="5"/>
      <c r="I22" s="6"/>
      <c r="J22" s="7"/>
      <c r="K22" s="7">
        <v>0</v>
      </c>
      <c r="L22" s="7"/>
      <c r="M22" s="7">
        <f t="shared" si="1"/>
        <v>0</v>
      </c>
      <c r="N22" s="7">
        <f t="shared" si="2"/>
        <v>-10</v>
      </c>
      <c r="O22" s="3">
        <f ca="1">MAX(0, I22-$R$1)</f>
        <v>0</v>
      </c>
    </row>
    <row r="23" spans="1:15" x14ac:dyDescent="0.25">
      <c r="A23" s="4" t="s">
        <v>8</v>
      </c>
      <c r="B23" s="4"/>
      <c r="C23" s="4" t="s">
        <v>51</v>
      </c>
      <c r="D23" s="4">
        <v>20</v>
      </c>
      <c r="E23" s="4">
        <v>0</v>
      </c>
      <c r="F23" s="4">
        <f t="shared" si="3"/>
        <v>6</v>
      </c>
      <c r="G23" s="4" t="s">
        <v>122</v>
      </c>
      <c r="H23" s="5"/>
      <c r="I23" s="6"/>
      <c r="J23" s="7"/>
      <c r="K23" s="7">
        <v>0</v>
      </c>
      <c r="L23" s="7"/>
      <c r="M23" s="7">
        <f t="shared" si="1"/>
        <v>0</v>
      </c>
      <c r="N23" s="7">
        <f t="shared" si="2"/>
        <v>-6</v>
      </c>
      <c r="O23" s="3">
        <f ca="1">MAX(0, I23-$R$1)</f>
        <v>0</v>
      </c>
    </row>
    <row r="24" spans="1:15" x14ac:dyDescent="0.25">
      <c r="A24" s="4" t="s">
        <v>66</v>
      </c>
      <c r="B24" s="4" t="s">
        <v>45</v>
      </c>
      <c r="C24" s="4" t="s">
        <v>68</v>
      </c>
      <c r="D24" s="4">
        <v>15</v>
      </c>
      <c r="E24" s="4">
        <v>5</v>
      </c>
      <c r="F24" s="4">
        <f t="shared" si="3"/>
        <v>4</v>
      </c>
      <c r="G24" s="4" t="s">
        <v>122</v>
      </c>
      <c r="H24" s="5" t="s">
        <v>102</v>
      </c>
      <c r="I24" s="6">
        <v>45258</v>
      </c>
      <c r="J24" s="7">
        <v>5</v>
      </c>
      <c r="K24" s="7">
        <v>21</v>
      </c>
      <c r="L24" s="7"/>
      <c r="M24" s="7">
        <f t="shared" si="1"/>
        <v>21</v>
      </c>
      <c r="N24" s="7">
        <f t="shared" si="2"/>
        <v>17</v>
      </c>
      <c r="O24" s="3">
        <f ca="1">MAX(0, I24-$R$1)</f>
        <v>26</v>
      </c>
    </row>
    <row r="25" spans="1:15" x14ac:dyDescent="0.25">
      <c r="A25" s="4" t="s">
        <v>67</v>
      </c>
      <c r="B25" s="4" t="s">
        <v>44</v>
      </c>
      <c r="C25" s="4" t="s">
        <v>69</v>
      </c>
      <c r="D25" s="4">
        <v>1000</v>
      </c>
      <c r="E25" s="4">
        <v>0</v>
      </c>
      <c r="F25" s="4">
        <f t="shared" si="3"/>
        <v>330</v>
      </c>
      <c r="G25" s="4" t="s">
        <v>123</v>
      </c>
      <c r="H25" s="5"/>
      <c r="I25" s="6"/>
      <c r="J25" s="7">
        <v>0</v>
      </c>
      <c r="K25" s="7">
        <v>0</v>
      </c>
      <c r="L25" s="7"/>
      <c r="M25" s="7">
        <f t="shared" si="1"/>
        <v>0</v>
      </c>
      <c r="N25" s="7">
        <f t="shared" si="2"/>
        <v>-330</v>
      </c>
      <c r="O25" s="3">
        <f ca="1">MAX(0, I25-$R$1)</f>
        <v>0</v>
      </c>
    </row>
    <row r="26" spans="1:15" x14ac:dyDescent="0.25">
      <c r="A26" s="4" t="s">
        <v>9</v>
      </c>
      <c r="B26" s="4" t="s">
        <v>43</v>
      </c>
      <c r="C26" s="4" t="s">
        <v>70</v>
      </c>
      <c r="D26" s="4">
        <v>150</v>
      </c>
      <c r="E26" s="14">
        <v>100</v>
      </c>
      <c r="F26" s="4">
        <f t="shared" si="3"/>
        <v>49</v>
      </c>
      <c r="G26" s="4">
        <v>100</v>
      </c>
      <c r="H26" s="5" t="s">
        <v>97</v>
      </c>
      <c r="I26" s="6">
        <v>45373</v>
      </c>
      <c r="J26" s="7">
        <v>3</v>
      </c>
      <c r="K26" s="7">
        <v>214</v>
      </c>
      <c r="L26" s="7"/>
      <c r="M26" s="7">
        <f t="shared" si="1"/>
        <v>214</v>
      </c>
      <c r="N26" s="7">
        <f t="shared" si="2"/>
        <v>165</v>
      </c>
      <c r="O26" s="3">
        <f ca="1">MAX(0, I26-$R$1)</f>
        <v>141</v>
      </c>
    </row>
    <row r="27" spans="1:15" x14ac:dyDescent="0.25">
      <c r="A27" s="4" t="s">
        <v>10</v>
      </c>
      <c r="B27" s="4" t="s">
        <v>42</v>
      </c>
      <c r="C27" s="4" t="s">
        <v>71</v>
      </c>
      <c r="D27" s="4">
        <v>300</v>
      </c>
      <c r="E27" s="4">
        <v>100</v>
      </c>
      <c r="F27" s="4">
        <f t="shared" si="3"/>
        <v>99</v>
      </c>
      <c r="G27" s="4">
        <v>100</v>
      </c>
      <c r="H27" s="5" t="s">
        <v>92</v>
      </c>
      <c r="I27" s="6">
        <v>45395</v>
      </c>
      <c r="J27" s="7">
        <v>3</v>
      </c>
      <c r="K27" s="7">
        <v>300</v>
      </c>
      <c r="L27" s="7"/>
      <c r="M27" s="7">
        <f t="shared" si="1"/>
        <v>300</v>
      </c>
      <c r="N27" s="7">
        <f t="shared" si="2"/>
        <v>201</v>
      </c>
      <c r="O27" s="3">
        <f ca="1">MAX(0, I27-$R$1)</f>
        <v>163</v>
      </c>
    </row>
    <row r="28" spans="1:15" x14ac:dyDescent="0.25">
      <c r="A28" s="4" t="s">
        <v>11</v>
      </c>
      <c r="B28" s="14" t="s">
        <v>105</v>
      </c>
      <c r="C28" s="4" t="s">
        <v>70</v>
      </c>
      <c r="D28" s="4">
        <v>10</v>
      </c>
      <c r="E28" s="4">
        <v>0</v>
      </c>
      <c r="F28" s="4">
        <f t="shared" si="3"/>
        <v>3</v>
      </c>
      <c r="G28" s="4" t="s">
        <v>122</v>
      </c>
      <c r="H28" s="5"/>
      <c r="I28" s="6"/>
      <c r="J28" s="7">
        <v>0</v>
      </c>
      <c r="K28" s="7">
        <v>0</v>
      </c>
      <c r="L28" s="7"/>
      <c r="M28" s="7">
        <f t="shared" si="1"/>
        <v>0</v>
      </c>
      <c r="N28" s="7">
        <f t="shared" si="2"/>
        <v>-3</v>
      </c>
      <c r="O28" s="3">
        <f ca="1">MAX(0, I28-$R$1)</f>
        <v>0</v>
      </c>
    </row>
    <row r="29" spans="1:15" x14ac:dyDescent="0.25">
      <c r="A29" s="4" t="s">
        <v>12</v>
      </c>
      <c r="B29" s="4"/>
      <c r="C29" s="4" t="s">
        <v>72</v>
      </c>
      <c r="D29" s="4" t="s">
        <v>75</v>
      </c>
      <c r="E29" s="4">
        <v>0</v>
      </c>
      <c r="F29" s="4">
        <v>1</v>
      </c>
      <c r="G29" s="4" t="s">
        <v>122</v>
      </c>
      <c r="H29" s="5"/>
      <c r="I29" s="6"/>
      <c r="J29" s="7"/>
      <c r="K29" s="7"/>
      <c r="L29" s="7"/>
      <c r="M29" s="7">
        <f t="shared" si="1"/>
        <v>0</v>
      </c>
      <c r="N29" s="7">
        <f t="shared" si="2"/>
        <v>-1</v>
      </c>
      <c r="O29" s="3">
        <f ca="1">MAX(0, I29-$R$1)</f>
        <v>0</v>
      </c>
    </row>
    <row r="30" spans="1:15" x14ac:dyDescent="0.25">
      <c r="A30" s="4" t="s">
        <v>13</v>
      </c>
      <c r="B30" s="4"/>
      <c r="C30" s="4" t="s">
        <v>73</v>
      </c>
      <c r="D30" s="4">
        <v>20</v>
      </c>
      <c r="E30" s="4">
        <v>0</v>
      </c>
      <c r="F30" s="4">
        <f t="shared" si="3"/>
        <v>6</v>
      </c>
      <c r="G30" s="4" t="s">
        <v>122</v>
      </c>
      <c r="H30" s="5"/>
      <c r="I30" s="6"/>
      <c r="J30" s="7"/>
      <c r="K30" s="7"/>
      <c r="L30" s="7"/>
      <c r="M30" s="7">
        <f t="shared" si="1"/>
        <v>0</v>
      </c>
      <c r="N30" s="7">
        <f t="shared" si="2"/>
        <v>-6</v>
      </c>
      <c r="O30" s="3">
        <f ca="1">MAX(0, I30-$R$1)</f>
        <v>0</v>
      </c>
    </row>
    <row r="31" spans="1:15" x14ac:dyDescent="0.25">
      <c r="A31" s="4" t="s">
        <v>14</v>
      </c>
      <c r="B31" s="4"/>
      <c r="C31" s="4" t="s">
        <v>73</v>
      </c>
      <c r="D31" s="4">
        <v>30</v>
      </c>
      <c r="E31" s="4">
        <v>0</v>
      </c>
      <c r="F31" s="4">
        <f t="shared" si="3"/>
        <v>9</v>
      </c>
      <c r="G31" s="4" t="s">
        <v>122</v>
      </c>
      <c r="H31" s="5"/>
      <c r="I31" s="6"/>
      <c r="J31" s="7"/>
      <c r="K31" s="7"/>
      <c r="L31" s="7"/>
      <c r="M31" s="7">
        <f t="shared" si="1"/>
        <v>0</v>
      </c>
      <c r="N31" s="7">
        <f t="shared" si="2"/>
        <v>-9</v>
      </c>
      <c r="O31" s="3">
        <f ca="1">MAX(0, I31-$R$1)</f>
        <v>0</v>
      </c>
    </row>
    <row r="32" spans="1:15" x14ac:dyDescent="0.25">
      <c r="A32" s="4" t="s">
        <v>15</v>
      </c>
      <c r="B32" s="4"/>
      <c r="C32" s="4" t="s">
        <v>73</v>
      </c>
      <c r="D32" s="4">
        <v>20</v>
      </c>
      <c r="E32" s="4">
        <v>0</v>
      </c>
      <c r="F32" s="4">
        <f t="shared" si="3"/>
        <v>6</v>
      </c>
      <c r="G32" s="4" t="s">
        <v>122</v>
      </c>
      <c r="H32" s="5"/>
      <c r="I32" s="6"/>
      <c r="J32" s="7"/>
      <c r="K32" s="7"/>
      <c r="L32" s="7"/>
      <c r="M32" s="7">
        <f t="shared" si="1"/>
        <v>0</v>
      </c>
      <c r="N32" s="7">
        <f t="shared" si="2"/>
        <v>-6</v>
      </c>
      <c r="O32" s="3">
        <f ca="1">MAX(0, I32-$R$1)</f>
        <v>0</v>
      </c>
    </row>
    <row r="33" spans="1:15" x14ac:dyDescent="0.25">
      <c r="A33" s="4" t="s">
        <v>16</v>
      </c>
      <c r="B33" s="4"/>
      <c r="C33" s="4" t="s">
        <v>73</v>
      </c>
      <c r="D33" s="4">
        <v>20</v>
      </c>
      <c r="E33" s="4">
        <v>0</v>
      </c>
      <c r="F33" s="4">
        <f t="shared" si="3"/>
        <v>6</v>
      </c>
      <c r="G33" s="4" t="s">
        <v>122</v>
      </c>
      <c r="H33" s="5"/>
      <c r="I33" s="6"/>
      <c r="J33" s="7"/>
      <c r="K33" s="7"/>
      <c r="L33" s="7"/>
      <c r="M33" s="7">
        <f t="shared" si="1"/>
        <v>0</v>
      </c>
      <c r="N33" s="7">
        <f t="shared" si="2"/>
        <v>-6</v>
      </c>
      <c r="O33" s="3">
        <f ca="1">MAX(0, I33-$R$1)</f>
        <v>0</v>
      </c>
    </row>
    <row r="34" spans="1:15" x14ac:dyDescent="0.25">
      <c r="A34" s="4" t="s">
        <v>17</v>
      </c>
      <c r="B34" s="4"/>
      <c r="C34" s="4" t="s">
        <v>73</v>
      </c>
      <c r="D34" s="4">
        <v>15</v>
      </c>
      <c r="E34" s="4">
        <v>0</v>
      </c>
      <c r="F34" s="4">
        <f t="shared" si="3"/>
        <v>4</v>
      </c>
      <c r="G34" s="4" t="s">
        <v>122</v>
      </c>
      <c r="H34" s="5"/>
      <c r="I34" s="6"/>
      <c r="J34" s="7"/>
      <c r="K34" s="7"/>
      <c r="L34" s="7"/>
      <c r="M34" s="7">
        <f t="shared" si="1"/>
        <v>0</v>
      </c>
      <c r="N34" s="7">
        <f t="shared" si="2"/>
        <v>-4</v>
      </c>
      <c r="O34" s="3">
        <f ca="1">MAX(0, I34-$R$1)</f>
        <v>0</v>
      </c>
    </row>
    <row r="35" spans="1:15" x14ac:dyDescent="0.25">
      <c r="A35" s="4" t="s">
        <v>18</v>
      </c>
      <c r="B35" s="4"/>
      <c r="C35" s="4" t="s">
        <v>74</v>
      </c>
      <c r="D35" s="4">
        <v>15</v>
      </c>
      <c r="E35" s="4">
        <v>0</v>
      </c>
      <c r="F35" s="4">
        <f t="shared" si="3"/>
        <v>4</v>
      </c>
      <c r="G35" s="4" t="s">
        <v>122</v>
      </c>
      <c r="H35" s="5"/>
      <c r="I35" s="6"/>
      <c r="J35" s="7"/>
      <c r="K35" s="7"/>
      <c r="L35" s="7"/>
      <c r="M35" s="7">
        <f t="shared" si="1"/>
        <v>0</v>
      </c>
      <c r="N35" s="7">
        <f t="shared" si="2"/>
        <v>-4</v>
      </c>
      <c r="O35" s="3">
        <f ca="1">MAX(0, I35-$R$1)</f>
        <v>0</v>
      </c>
    </row>
    <row r="36" spans="1:15" x14ac:dyDescent="0.25">
      <c r="A36" s="4" t="s">
        <v>19</v>
      </c>
      <c r="B36" s="4"/>
      <c r="C36" s="4" t="s">
        <v>74</v>
      </c>
      <c r="D36" s="4">
        <v>5</v>
      </c>
      <c r="E36" s="4">
        <v>0</v>
      </c>
      <c r="F36" s="4">
        <f t="shared" si="3"/>
        <v>1</v>
      </c>
      <c r="G36" s="4" t="s">
        <v>122</v>
      </c>
      <c r="H36" s="5"/>
      <c r="I36" s="6"/>
      <c r="J36" s="7"/>
      <c r="K36" s="7"/>
      <c r="L36" s="7"/>
      <c r="M36" s="7">
        <f t="shared" si="1"/>
        <v>0</v>
      </c>
      <c r="N36" s="7">
        <f t="shared" si="2"/>
        <v>-1</v>
      </c>
      <c r="O36" s="3">
        <f ca="1">MAX(0, I36-$R$1)</f>
        <v>0</v>
      </c>
    </row>
    <row r="37" spans="1:15" x14ac:dyDescent="0.25">
      <c r="C37" s="4"/>
      <c r="D37" s="4"/>
      <c r="E37" s="4"/>
      <c r="F37" s="4"/>
      <c r="G37" s="4"/>
      <c r="H37" s="5"/>
      <c r="I37" s="6"/>
      <c r="J37" s="7"/>
      <c r="K37" s="7"/>
      <c r="L37" s="7"/>
      <c r="M37" s="7"/>
    </row>
    <row r="38" spans="1:15" x14ac:dyDescent="0.25">
      <c r="A38" s="4"/>
      <c r="B38" s="4"/>
      <c r="C38" s="4"/>
      <c r="D38" s="4"/>
      <c r="E38" s="4"/>
      <c r="F38" s="4"/>
      <c r="G38" s="4"/>
      <c r="H38" s="5"/>
      <c r="I38" s="6"/>
      <c r="J38" s="7"/>
      <c r="K38" s="7"/>
      <c r="L38" s="7"/>
      <c r="M38" s="7"/>
    </row>
    <row r="39" spans="1:15" x14ac:dyDescent="0.25">
      <c r="A39" s="4"/>
      <c r="B39" s="4"/>
      <c r="C39" s="4"/>
      <c r="D39" s="4"/>
      <c r="E39" s="4"/>
      <c r="F39" s="4"/>
      <c r="G39" s="4"/>
      <c r="H39" s="5"/>
      <c r="I39" s="6"/>
      <c r="J39" s="7"/>
      <c r="K39" s="7"/>
      <c r="L39" s="7"/>
      <c r="M39" s="7"/>
    </row>
    <row r="40" spans="1:15" x14ac:dyDescent="0.25">
      <c r="A40" s="4"/>
      <c r="B40" s="4"/>
      <c r="C40" s="4"/>
      <c r="D40" s="4"/>
      <c r="E40" s="4"/>
      <c r="F40" s="4"/>
      <c r="G40" s="4"/>
      <c r="H40" s="5"/>
      <c r="I40" s="6"/>
      <c r="J40" s="7"/>
      <c r="K40" s="7"/>
      <c r="L40" s="7"/>
      <c r="M40" s="7"/>
    </row>
    <row r="41" spans="1:15" x14ac:dyDescent="0.25">
      <c r="A41" s="4"/>
      <c r="B41" s="4"/>
      <c r="C41" s="4"/>
      <c r="D41" s="4"/>
      <c r="E41" s="4"/>
      <c r="F41" s="4"/>
      <c r="G41" s="4"/>
      <c r="H41" s="5"/>
      <c r="I41" s="6"/>
      <c r="J41" s="7"/>
      <c r="K41" s="7"/>
      <c r="L41" s="7"/>
      <c r="M41" s="7"/>
    </row>
    <row r="42" spans="1:15" x14ac:dyDescent="0.25">
      <c r="A42" s="4"/>
      <c r="B42" s="4"/>
      <c r="C42" s="4"/>
      <c r="D42" s="4"/>
      <c r="E42" s="4"/>
      <c r="F42" s="4"/>
      <c r="G42" s="4"/>
      <c r="H42" s="5"/>
      <c r="I42" s="6"/>
      <c r="J42" s="7"/>
      <c r="K42" s="7"/>
      <c r="L42" s="7"/>
      <c r="M42" s="7"/>
    </row>
    <row r="43" spans="1:15" x14ac:dyDescent="0.25">
      <c r="A43" s="4"/>
      <c r="B43" s="4"/>
      <c r="C43" s="4"/>
      <c r="D43" s="4"/>
      <c r="E43" s="4"/>
      <c r="F43" s="4"/>
      <c r="G43" s="4"/>
      <c r="H43" s="5"/>
      <c r="I43" s="6"/>
      <c r="J43" s="7"/>
      <c r="K43" s="7"/>
      <c r="L43" s="7"/>
      <c r="M43" s="7"/>
    </row>
    <row r="44" spans="1:15" x14ac:dyDescent="0.25">
      <c r="A44" s="4"/>
      <c r="B44" s="4"/>
      <c r="C44" s="4"/>
      <c r="D44" s="4"/>
      <c r="E44" s="4"/>
      <c r="F44" s="4"/>
      <c r="G44" s="4"/>
      <c r="H44" s="5"/>
      <c r="I44" s="6"/>
      <c r="J44" s="7"/>
      <c r="K44" s="7"/>
      <c r="L44" s="7"/>
      <c r="M44" s="7"/>
    </row>
    <row r="45" spans="1:15" x14ac:dyDescent="0.25">
      <c r="A45" s="4"/>
      <c r="B45" s="4"/>
      <c r="C45" s="4"/>
      <c r="D45" s="4"/>
      <c r="E45" s="4"/>
      <c r="F45" s="4"/>
      <c r="G45" s="4"/>
      <c r="H45" s="5"/>
      <c r="I45" s="6"/>
      <c r="J45" s="7"/>
      <c r="K45" s="7"/>
      <c r="L45" s="7"/>
      <c r="M45" s="7"/>
    </row>
  </sheetData>
  <conditionalFormatting sqref="O2:O14 O16:O36">
    <cfRule type="colorScale" priority="2">
      <colorScale>
        <cfvo type="num" val="0"/>
        <cfvo type="num" val="14"/>
        <cfvo type="num" val="21"/>
        <color rgb="FFFF8989"/>
        <color rgb="FFFFFF00"/>
        <color rgb="FF92D050"/>
      </colorScale>
    </cfRule>
  </conditionalFormatting>
  <conditionalFormatting sqref="N2:N14 N16:N36">
    <cfRule type="colorScale" priority="1">
      <colorScale>
        <cfvo type="num" val="0"/>
        <cfvo type="num" val="1"/>
        <color rgb="FFFF8989"/>
        <color rgb="FF92D050"/>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79"/>
  <sheetViews>
    <sheetView workbookViewId="0">
      <selection activeCell="H2" sqref="H2:H5"/>
    </sheetView>
  </sheetViews>
  <sheetFormatPr defaultRowHeight="15.75" x14ac:dyDescent="0.25"/>
  <cols>
    <col min="1" max="1" width="25.28515625" style="3" bestFit="1" customWidth="1"/>
    <col min="2" max="2" width="5.42578125" style="3" bestFit="1" customWidth="1"/>
    <col min="3" max="3" width="25.28515625" style="3" bestFit="1" customWidth="1"/>
    <col min="4" max="4" width="5.42578125" style="3" bestFit="1" customWidth="1"/>
    <col min="5" max="5" width="23.5703125" style="3" bestFit="1" customWidth="1"/>
    <col min="6" max="6" width="5.42578125" style="3" bestFit="1" customWidth="1"/>
    <col min="7" max="8" width="36" bestFit="1" customWidth="1"/>
  </cols>
  <sheetData>
    <row r="1" spans="1:4" ht="16.5" thickBot="1" x14ac:dyDescent="0.3">
      <c r="A1" s="13" t="s">
        <v>0</v>
      </c>
      <c r="B1" s="13" t="s">
        <v>52</v>
      </c>
      <c r="C1" s="13" t="s">
        <v>1</v>
      </c>
      <c r="D1" s="13" t="s">
        <v>52</v>
      </c>
    </row>
    <row r="2" spans="1:4" ht="16.5" thickTop="1" x14ac:dyDescent="0.25">
      <c r="A2" s="3" t="s">
        <v>76</v>
      </c>
    </row>
    <row r="3" spans="1:4" x14ac:dyDescent="0.25">
      <c r="A3" s="3" t="s">
        <v>76</v>
      </c>
    </row>
    <row r="4" spans="1:4" x14ac:dyDescent="0.25">
      <c r="A4" s="3" t="s">
        <v>76</v>
      </c>
    </row>
    <row r="5" spans="1:4" x14ac:dyDescent="0.25">
      <c r="A5" s="3" t="s">
        <v>81</v>
      </c>
    </row>
    <row r="6" spans="1:4" x14ac:dyDescent="0.25">
      <c r="A6" s="3" t="s">
        <v>81</v>
      </c>
    </row>
    <row r="7" spans="1:4" x14ac:dyDescent="0.25">
      <c r="A7" s="3" t="s">
        <v>81</v>
      </c>
    </row>
    <row r="8" spans="1:4" x14ac:dyDescent="0.25">
      <c r="A8" s="3" t="s">
        <v>81</v>
      </c>
    </row>
    <row r="9" spans="1:4" x14ac:dyDescent="0.25">
      <c r="A9" s="3" t="s">
        <v>81</v>
      </c>
    </row>
    <row r="10" spans="1:4" x14ac:dyDescent="0.25">
      <c r="A10" s="3" t="s">
        <v>81</v>
      </c>
    </row>
    <row r="11" spans="1:4" x14ac:dyDescent="0.25">
      <c r="A11" s="3" t="s">
        <v>81</v>
      </c>
    </row>
    <row r="12" spans="1:4" x14ac:dyDescent="0.25">
      <c r="A12" s="3" t="s">
        <v>81</v>
      </c>
    </row>
    <row r="13" spans="1:4" x14ac:dyDescent="0.25">
      <c r="A13" s="3" t="s">
        <v>81</v>
      </c>
    </row>
    <row r="14" spans="1:4" x14ac:dyDescent="0.25">
      <c r="A14" s="3" t="s">
        <v>81</v>
      </c>
    </row>
    <row r="15" spans="1:4" x14ac:dyDescent="0.25">
      <c r="A15" s="3" t="s">
        <v>81</v>
      </c>
    </row>
    <row r="16" spans="1:4" x14ac:dyDescent="0.25">
      <c r="A16" s="3" t="s">
        <v>81</v>
      </c>
    </row>
    <row r="17" spans="1:2" x14ac:dyDescent="0.25">
      <c r="A17" s="3" t="s">
        <v>81</v>
      </c>
    </row>
    <row r="18" spans="1:2" x14ac:dyDescent="0.25">
      <c r="A18" s="3" t="s">
        <v>81</v>
      </c>
    </row>
    <row r="19" spans="1:2" x14ac:dyDescent="0.25">
      <c r="A19" s="3" t="s">
        <v>81</v>
      </c>
    </row>
    <row r="20" spans="1:2" x14ac:dyDescent="0.25">
      <c r="A20" s="3" t="s">
        <v>81</v>
      </c>
    </row>
    <row r="21" spans="1:2" x14ac:dyDescent="0.25">
      <c r="A21" s="3" t="s">
        <v>81</v>
      </c>
    </row>
    <row r="22" spans="1:2" x14ac:dyDescent="0.25">
      <c r="A22" s="3" t="s">
        <v>81</v>
      </c>
    </row>
    <row r="23" spans="1:2" x14ac:dyDescent="0.25">
      <c r="A23" s="3" t="s">
        <v>81</v>
      </c>
    </row>
    <row r="24" spans="1:2" x14ac:dyDescent="0.25">
      <c r="A24" s="3" t="s">
        <v>82</v>
      </c>
    </row>
    <row r="25" spans="1:2" x14ac:dyDescent="0.25">
      <c r="A25" s="3" t="s">
        <v>77</v>
      </c>
    </row>
    <row r="26" spans="1:2" x14ac:dyDescent="0.25">
      <c r="A26" s="3" t="s">
        <v>77</v>
      </c>
    </row>
    <row r="27" spans="1:2" x14ac:dyDescent="0.25">
      <c r="A27" s="3" t="s">
        <v>84</v>
      </c>
    </row>
    <row r="28" spans="1:2" x14ac:dyDescent="0.25">
      <c r="A28" s="3" t="s">
        <v>84</v>
      </c>
    </row>
    <row r="29" spans="1:2" x14ac:dyDescent="0.25">
      <c r="A29" s="3" t="s">
        <v>84</v>
      </c>
    </row>
    <row r="30" spans="1:2" x14ac:dyDescent="0.25">
      <c r="A30" s="3" t="s">
        <v>84</v>
      </c>
    </row>
    <row r="31" spans="1:2" x14ac:dyDescent="0.25">
      <c r="A31" s="3" t="s">
        <v>84</v>
      </c>
    </row>
    <row r="32" spans="1:2" x14ac:dyDescent="0.25">
      <c r="A32" s="3" t="s">
        <v>85</v>
      </c>
      <c r="B32" s="3">
        <v>40</v>
      </c>
    </row>
    <row r="33" spans="1:2" x14ac:dyDescent="0.25">
      <c r="A33" s="3" t="s">
        <v>86</v>
      </c>
    </row>
    <row r="34" spans="1:2" x14ac:dyDescent="0.25">
      <c r="A34" s="3" t="s">
        <v>86</v>
      </c>
    </row>
    <row r="35" spans="1:2" x14ac:dyDescent="0.25">
      <c r="A35" s="3" t="s">
        <v>86</v>
      </c>
      <c r="B35" s="3">
        <v>90</v>
      </c>
    </row>
    <row r="36" spans="1:2" x14ac:dyDescent="0.25">
      <c r="A36" s="3" t="s">
        <v>87</v>
      </c>
    </row>
    <row r="37" spans="1:2" x14ac:dyDescent="0.25">
      <c r="A37" s="3" t="s">
        <v>87</v>
      </c>
    </row>
    <row r="38" spans="1:2" x14ac:dyDescent="0.25">
      <c r="A38" s="3" t="s">
        <v>88</v>
      </c>
    </row>
    <row r="39" spans="1:2" x14ac:dyDescent="0.25">
      <c r="A39" s="3" t="s">
        <v>79</v>
      </c>
      <c r="B39" s="3">
        <v>14</v>
      </c>
    </row>
    <row r="40" spans="1:2" x14ac:dyDescent="0.25">
      <c r="A40" s="3" t="s">
        <v>93</v>
      </c>
    </row>
    <row r="41" spans="1:2" x14ac:dyDescent="0.25">
      <c r="A41" s="3" t="s">
        <v>94</v>
      </c>
    </row>
    <row r="42" spans="1:2" x14ac:dyDescent="0.25">
      <c r="A42" s="3" t="s">
        <v>95</v>
      </c>
    </row>
    <row r="43" spans="1:2" x14ac:dyDescent="0.25">
      <c r="A43" s="3" t="s">
        <v>95</v>
      </c>
      <c r="B43" s="3">
        <v>60</v>
      </c>
    </row>
    <row r="44" spans="1:2" x14ac:dyDescent="0.25">
      <c r="A44" s="3" t="s">
        <v>78</v>
      </c>
    </row>
    <row r="45" spans="1:2" x14ac:dyDescent="0.25">
      <c r="A45" s="3" t="s">
        <v>78</v>
      </c>
    </row>
    <row r="46" spans="1:2" x14ac:dyDescent="0.25">
      <c r="A46" s="3" t="s">
        <v>78</v>
      </c>
    </row>
    <row r="47" spans="1:2" x14ac:dyDescent="0.25">
      <c r="A47" s="3" t="s">
        <v>78</v>
      </c>
    </row>
    <row r="48" spans="1:2" x14ac:dyDescent="0.25">
      <c r="A48" s="3" t="s">
        <v>98</v>
      </c>
    </row>
    <row r="49" spans="1:2" x14ac:dyDescent="0.25">
      <c r="A49" s="3" t="s">
        <v>98</v>
      </c>
    </row>
    <row r="50" spans="1:2" x14ac:dyDescent="0.25">
      <c r="A50" s="3" t="s">
        <v>98</v>
      </c>
    </row>
    <row r="51" spans="1:2" x14ac:dyDescent="0.25">
      <c r="A51" s="3" t="s">
        <v>98</v>
      </c>
    </row>
    <row r="52" spans="1:2" x14ac:dyDescent="0.25">
      <c r="A52" s="3" t="s">
        <v>98</v>
      </c>
      <c r="B52" s="3">
        <v>1</v>
      </c>
    </row>
    <row r="53" spans="1:2" x14ac:dyDescent="0.25">
      <c r="A53" s="3" t="s">
        <v>99</v>
      </c>
    </row>
    <row r="54" spans="1:2" x14ac:dyDescent="0.25">
      <c r="A54" s="3" t="s">
        <v>103</v>
      </c>
    </row>
    <row r="55" spans="1:2" x14ac:dyDescent="0.25">
      <c r="A55" s="3" t="s">
        <v>103</v>
      </c>
    </row>
    <row r="56" spans="1:2" x14ac:dyDescent="0.25">
      <c r="A56" s="3" t="s">
        <v>103</v>
      </c>
    </row>
    <row r="57" spans="1:2" x14ac:dyDescent="0.25">
      <c r="A57" s="3" t="s">
        <v>103</v>
      </c>
    </row>
    <row r="58" spans="1:2" x14ac:dyDescent="0.25">
      <c r="A58" s="3" t="s">
        <v>108</v>
      </c>
    </row>
    <row r="59" spans="1:2" x14ac:dyDescent="0.25">
      <c r="A59" s="3" t="s">
        <v>109</v>
      </c>
    </row>
    <row r="60" spans="1:2" x14ac:dyDescent="0.25">
      <c r="A60" s="3" t="s">
        <v>109</v>
      </c>
    </row>
    <row r="61" spans="1:2" x14ac:dyDescent="0.25">
      <c r="A61" s="3" t="s">
        <v>109</v>
      </c>
    </row>
    <row r="62" spans="1:2" x14ac:dyDescent="0.25">
      <c r="A62" s="3" t="s">
        <v>109</v>
      </c>
    </row>
    <row r="63" spans="1:2" x14ac:dyDescent="0.25">
      <c r="A63" s="3" t="s">
        <v>109</v>
      </c>
    </row>
    <row r="64" spans="1:2" x14ac:dyDescent="0.25">
      <c r="A64" s="3" t="s">
        <v>109</v>
      </c>
    </row>
    <row r="65" spans="1:1" x14ac:dyDescent="0.25">
      <c r="A65" s="3" t="s">
        <v>110</v>
      </c>
    </row>
    <row r="66" spans="1:1" x14ac:dyDescent="0.25">
      <c r="A66" s="3" t="s">
        <v>110</v>
      </c>
    </row>
    <row r="67" spans="1:1" x14ac:dyDescent="0.25">
      <c r="A67" s="3" t="s">
        <v>111</v>
      </c>
    </row>
    <row r="68" spans="1:1" x14ac:dyDescent="0.25">
      <c r="A68" s="3" t="s">
        <v>111</v>
      </c>
    </row>
    <row r="69" spans="1:1" x14ac:dyDescent="0.25">
      <c r="A69" s="3" t="s">
        <v>113</v>
      </c>
    </row>
    <row r="70" spans="1:1" x14ac:dyDescent="0.25">
      <c r="A70" s="3" t="s">
        <v>113</v>
      </c>
    </row>
    <row r="71" spans="1:1" x14ac:dyDescent="0.25">
      <c r="A71" s="3" t="s">
        <v>112</v>
      </c>
    </row>
    <row r="72" spans="1:1" x14ac:dyDescent="0.25">
      <c r="A72" s="3" t="s">
        <v>114</v>
      </c>
    </row>
    <row r="73" spans="1:1" x14ac:dyDescent="0.25">
      <c r="A73" s="3" t="s">
        <v>115</v>
      </c>
    </row>
    <row r="74" spans="1:1" x14ac:dyDescent="0.25">
      <c r="A74" s="3" t="s">
        <v>115</v>
      </c>
    </row>
    <row r="75" spans="1:1" x14ac:dyDescent="0.25">
      <c r="A75" s="3" t="s">
        <v>116</v>
      </c>
    </row>
    <row r="76" spans="1:1" x14ac:dyDescent="0.25">
      <c r="A76" s="3" t="s">
        <v>116</v>
      </c>
    </row>
    <row r="77" spans="1:1" x14ac:dyDescent="0.25">
      <c r="A77" s="3" t="s">
        <v>117</v>
      </c>
    </row>
    <row r="78" spans="1:1" x14ac:dyDescent="0.25">
      <c r="A78" s="3" t="s">
        <v>117</v>
      </c>
    </row>
    <row r="79" spans="1:1" x14ac:dyDescent="0.25">
      <c r="A79" s="3" t="s">
        <v>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master_list</vt:lpstr>
      <vt:lpstr>receiving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 Services</dc:creator>
  <cp:lastModifiedBy>Lab Services</cp:lastModifiedBy>
  <dcterms:created xsi:type="dcterms:W3CDTF">2023-09-25T15:20:53Z</dcterms:created>
  <dcterms:modified xsi:type="dcterms:W3CDTF">2023-11-02T21:55:30Z</dcterms:modified>
</cp:coreProperties>
</file>